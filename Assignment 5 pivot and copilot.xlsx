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ebextensions/webextension2.xml" ContentType="application/vnd.ms-office.webextension+xml"/>
  <Override PartName="/xl/webextensions/webextension1.xml" ContentType="application/vnd.ms-office.webextension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1430" yWindow="0" windowWidth="11715" windowHeight="12330" activeTab="9"/>
  </bookViews>
  <sheets>
    <sheet name="Dataset" sheetId="1" r:id="rId1"/>
    <sheet name="Ans 1" sheetId="2" r:id="rId2"/>
    <sheet name="Ans 2" sheetId="3" r:id="rId3"/>
    <sheet name="Ans 3" sheetId="6" r:id="rId4"/>
    <sheet name="Ans 4" sheetId="4" r:id="rId5"/>
    <sheet name="Ans 5" sheetId="5" r:id="rId6"/>
    <sheet name="Ans 6" sheetId="7" r:id="rId7"/>
    <sheet name="Ans 7" sheetId="8" r:id="rId8"/>
    <sheet name="Ans 8" sheetId="9" r:id="rId9"/>
    <sheet name="Ans 9" sheetId="10" r:id="rId10"/>
  </sheets>
  <calcPr calcId="191028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8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5"/>
  <c r="K354" i="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</calcChain>
</file>

<file path=xl/sharedStrings.xml><?xml version="1.0" encoding="utf-8"?>
<sst xmlns="http://schemas.openxmlformats.org/spreadsheetml/2006/main" count="14788" uniqueCount="431">
  <si>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</si>
  <si>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</si>
  <si>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</si>
  <si>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</si>
  <si>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</si>
  <si>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</si>
  <si>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</si>
  <si>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</si>
  <si>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</si>
  <si>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</si>
  <si>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</si>
  <si>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</si>
  <si>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</si>
  <si>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</si>
  <si>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</si>
  <si>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</si>
  <si>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</si>
  <si>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</si>
  <si>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</si>
  <si>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</si>
  <si>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</si>
  <si>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</si>
  <si>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</si>
  <si>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</si>
  <si>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</si>
  <si>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</si>
  <si>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</si>
  <si>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</si>
  <si>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</si>
  <si>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</si>
  <si>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</si>
  <si>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</si>
  <si>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</si>
  <si>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</si>
  <si>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</si>
  <si>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</si>
  <si>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</si>
  <si>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</si>
  <si>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</si>
  <si>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</si>
  <si>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</si>
  <si>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</si>
  <si>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</si>
  <si>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</si>
  <si>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</si>
  <si>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</si>
  <si>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</si>
  <si>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</si>
  <si>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</si>
  <si>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</si>
  <si>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</si>
  <si>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</si>
  <si>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</si>
  <si>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</si>
  <si>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</si>
  <si>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</si>
  <si>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</si>
  <si>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</si>
  <si>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</si>
  <si>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</si>
  <si>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</si>
  <si>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</si>
  <si>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</si>
  <si>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</si>
  <si>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</si>
  <si>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</si>
  <si>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</si>
  <si>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</si>
  <si>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</si>
  <si>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</si>
  <si>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</si>
  <si>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</si>
  <si>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</si>
  <si>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</si>
  <si>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</si>
  <si>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</si>
  <si>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</si>
  <si>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</si>
  <si>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</si>
  <si>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</si>
  <si>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</si>
  <si>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</si>
  <si>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</si>
  <si>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</si>
  <si>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</si>
  <si>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</si>
  <si>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</si>
  <si>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</si>
  <si>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</si>
  <si>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</si>
  <si>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</si>
  <si>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</si>
  <si>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</si>
  <si>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</si>
  <si>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</si>
  <si>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</si>
  <si>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</si>
  <si>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</si>
  <si>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</si>
  <si>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</si>
  <si>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</si>
  <si>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</si>
  <si>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</si>
  <si>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</si>
  <si>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</si>
  <si>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</si>
  <si>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</si>
  <si>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</si>
  <si>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</si>
  <si>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</si>
  <si>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</si>
  <si>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</si>
  <si>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</si>
  <si>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</si>
  <si>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</si>
  <si>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</si>
  <si>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</si>
  <si>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</si>
  <si>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</si>
  <si>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</si>
  <si>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</si>
  <si>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</si>
  <si>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</si>
  <si>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</si>
  <si>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</si>
  <si>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</si>
  <si>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</si>
  <si>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</si>
  <si>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</si>
  <si>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</si>
  <si>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</si>
  <si>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</si>
  <si>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</si>
  <si>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</si>
  <si>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</si>
  <si>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</si>
  <si>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</si>
  <si>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</si>
  <si>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</si>
  <si>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</si>
  <si>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</si>
  <si>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</si>
  <si>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</si>
  <si>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</si>
  <si>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</si>
  <si>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</si>
  <si>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</si>
  <si>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</si>
  <si>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</si>
  <si>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</si>
  <si>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</si>
  <si>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</si>
  <si>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</si>
  <si>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</si>
  <si>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</si>
  <si>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</si>
  <si>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</si>
  <si>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</si>
  <si>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</si>
  <si>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</si>
  <si>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</si>
  <si>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</si>
  <si>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</si>
  <si>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</si>
  <si>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</si>
  <si>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</si>
  <si>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</si>
  <si>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</si>
  <si>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</si>
  <si>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</si>
  <si>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</si>
  <si>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</si>
  <si>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</si>
  <si>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</si>
  <si>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</si>
  <si>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</si>
  <si>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</si>
  <si>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</si>
  <si>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</si>
  <si>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</si>
  <si>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</si>
  <si>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</si>
  <si>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</si>
  <si>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</si>
  <si>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</si>
  <si>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</si>
  <si>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</si>
  <si>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</si>
  <si>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</si>
  <si>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</si>
  <si>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</si>
  <si>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</si>
  <si>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</si>
  <si>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</si>
  <si>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</si>
  <si>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</si>
  <si>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</si>
  <si>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</si>
  <si>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</si>
  <si>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</si>
  <si>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</si>
  <si>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</si>
  <si>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</si>
  <si>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</si>
  <si>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</si>
  <si>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</si>
  <si>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</si>
  <si>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</si>
  <si>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</si>
  <si>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</si>
  <si>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</si>
  <si>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</si>
  <si>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</si>
  <si>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</si>
  <si>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</si>
  <si>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</si>
  <si>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</si>
  <si>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</si>
  <si>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</si>
  <si>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</si>
  <si>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</si>
  <si>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</si>
  <si>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</si>
  <si>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</si>
  <si>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</si>
  <si>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</si>
  <si>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</si>
  <si>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</si>
  <si>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</si>
  <si>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</si>
  <si>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</si>
  <si>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</si>
  <si>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</si>
  <si>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</si>
  <si>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</si>
  <si>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</si>
  <si>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</si>
  <si>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</si>
  <si>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</si>
  <si>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</si>
  <si>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</si>
  <si>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</si>
  <si>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</si>
  <si>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</si>
  <si>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</si>
  <si>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</si>
  <si>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</si>
  <si>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</si>
  <si>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</si>
  <si>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</si>
  <si>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</si>
  <si>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</si>
  <si>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</si>
  <si>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</si>
  <si>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</si>
  <si>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</si>
  <si>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</si>
  <si>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</si>
  <si>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</si>
  <si>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</si>
  <si>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</si>
  <si>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</si>
  <si>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</si>
  <si>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</si>
  <si>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</si>
  <si>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</si>
  <si>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</si>
  <si>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</si>
  <si>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</si>
  <si>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</si>
  <si>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</si>
  <si>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</si>
  <si>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</si>
  <si>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</si>
  <si>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</si>
  <si>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</si>
  <si>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</si>
  <si>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</si>
  <si>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</si>
  <si>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</si>
  <si>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</si>
  <si>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</si>
  <si>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</si>
  <si>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</si>
  <si>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</si>
  <si>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</si>
  <si>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</si>
  <si>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</si>
  <si>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</si>
  <si>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</si>
  <si>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</si>
  <si>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</si>
  <si>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</si>
  <si>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</si>
  <si>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</si>
  <si>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</si>
  <si>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</si>
  <si>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</si>
  <si>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</si>
  <si>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</si>
  <si>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</si>
  <si>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</si>
  <si>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</si>
  <si>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</si>
  <si>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</si>
  <si>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</si>
  <si>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</si>
  <si>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</si>
  <si>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</si>
  <si>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</si>
  <si>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</si>
  <si>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</si>
  <si>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</si>
  <si>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</si>
  <si>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</si>
  <si>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</si>
  <si>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</si>
  <si>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</si>
  <si>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</si>
  <si>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</si>
  <si>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</si>
  <si>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</si>
  <si>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</si>
  <si>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</si>
  <si>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</si>
  <si>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</si>
  <si>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</si>
  <si>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</si>
  <si>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</si>
  <si>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</si>
  <si>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</si>
  <si>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</si>
  <si>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</si>
  <si>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</si>
  <si>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</si>
  <si>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</si>
  <si>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</si>
  <si>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</si>
  <si>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</si>
  <si>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</si>
  <si>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</si>
  <si>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</si>
  <si>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</si>
  <si>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</si>
  <si>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</si>
  <si>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</si>
  <si>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</si>
  <si>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</si>
  <si>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</si>
  <si>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</si>
  <si>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</si>
  <si>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</si>
  <si>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</si>
  <si>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</si>
  <si>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</si>
  <si>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</si>
  <si>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</si>
  <si>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</si>
  <si>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</si>
  <si>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</si>
  <si>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</si>
  <si>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</si>
  <si>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</si>
  <si>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</si>
  <si>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</si>
  <si>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</si>
  <si>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</si>
  <si>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</si>
  <si>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</si>
  <si>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</si>
  <si>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</si>
  <si>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</si>
  <si>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</si>
  <si>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</si>
  <si>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</si>
  <si>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</si>
  <si>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</si>
  <si>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</si>
  <si>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</si>
  <si>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1.  Use copilot to identify and summarize missing values in the dataset.</t>
  </si>
  <si>
    <t xml:space="preserve">Column Name </t>
  </si>
  <si>
    <t>Missing Values Count</t>
  </si>
  <si>
    <t>Missing Percentage</t>
  </si>
  <si>
    <t xml:space="preserve">Country </t>
  </si>
  <si>
    <t xml:space="preserve">Units Sold </t>
  </si>
  <si>
    <t>Units Price</t>
  </si>
  <si>
    <t>2.  Use Copilot to fill missing values in the Region and Category columns.</t>
  </si>
  <si>
    <t>I have mentioned here the values that will be filled in the data, and I have also filled the values in the data.</t>
  </si>
  <si>
    <t>west</t>
  </si>
  <si>
    <t>3.  Fill missing numeric values in the Units Sold and Unit Price columns.</t>
  </si>
  <si>
    <t>I have also added the missing values of units sold and unit price in the data</t>
  </si>
  <si>
    <t xml:space="preserve">Order ID </t>
  </si>
  <si>
    <t>Units Sold Missing values</t>
  </si>
  <si>
    <t>Units price Missing values</t>
  </si>
  <si>
    <t xml:space="preserve">4.  Create a new calculated column " Total Revenue ". </t>
  </si>
  <si>
    <t>Total Revenue</t>
  </si>
  <si>
    <t>5.  Use Copilot to find the total price of Order ID = "ORD0123".</t>
  </si>
  <si>
    <t xml:space="preserve">Total Price :-  </t>
  </si>
  <si>
    <t>46*344.55 = 15,849.30</t>
  </si>
  <si>
    <t>6. Use Copilot to generate a summary chart of average profit by region.</t>
  </si>
  <si>
    <t>7.  Create a Pivot table summarizing total sales by category and region</t>
  </si>
  <si>
    <t>Profit</t>
  </si>
  <si>
    <t>Pivot Table</t>
  </si>
  <si>
    <t>Sum of Total Revenue</t>
  </si>
  <si>
    <t>Grand Total</t>
  </si>
  <si>
    <t>8.  Build a dashboard combining key KPIs and charts.</t>
  </si>
  <si>
    <t>Key Performance Indicators</t>
  </si>
  <si>
    <t xml:space="preserve">Total Revenue </t>
  </si>
  <si>
    <t>Total Profit</t>
  </si>
  <si>
    <t xml:space="preserve">Average Profit Margin(%) </t>
  </si>
  <si>
    <t>Top Category</t>
  </si>
  <si>
    <t>Top Region</t>
  </si>
  <si>
    <t>9.  Use Copilot to generatte a summary report.</t>
  </si>
  <si>
    <t>1.  Data Quality &amp; Preparation</t>
  </si>
  <si>
    <t>Missing Values:-</t>
  </si>
  <si>
    <t>All missing in the "Region" and "Category" columns have been successfully filled.</t>
  </si>
  <si>
    <t>Numeric missing values in "Units Sold" and "Unit Price" were filled using the median for each column, ensuring no missing data remain</t>
  </si>
  <si>
    <t>2.  Key Performance Indicators (KPIs)</t>
  </si>
  <si>
    <r>
      <rPr>
        <b/>
        <sz val="11"/>
        <color theme="1"/>
        <rFont val="Calibri"/>
        <family val="2"/>
        <scheme val="minor"/>
      </rPr>
      <t>Total Revenue:</t>
    </r>
    <r>
      <rPr>
        <sz val="11"/>
        <color theme="1"/>
        <rFont val="Calibri"/>
        <family val="2"/>
        <scheme val="minor"/>
      </rPr>
      <t>- $22,456,363.45</t>
    </r>
  </si>
  <si>
    <r>
      <rPr>
        <b/>
        <sz val="11"/>
        <color theme="1"/>
        <rFont val="Calibri"/>
        <family val="2"/>
        <scheme val="minor"/>
      </rPr>
      <t>Total Profit:-</t>
    </r>
    <r>
      <rPr>
        <sz val="11"/>
        <color theme="1"/>
        <rFont val="Calibri"/>
        <family val="2"/>
        <scheme val="minor"/>
      </rPr>
      <t xml:space="preserve"> $5,084,286.26</t>
    </r>
  </si>
  <si>
    <r>
      <rPr>
        <b/>
        <sz val="11"/>
        <color theme="1"/>
        <rFont val="Calibri"/>
        <family val="2"/>
        <scheme val="minor"/>
      </rPr>
      <t>Top Category by sales:-</t>
    </r>
    <r>
      <rPr>
        <sz val="11"/>
        <color theme="1"/>
        <rFont val="Calibri"/>
        <family val="2"/>
        <scheme val="minor"/>
      </rPr>
      <t xml:space="preserve"> Beverages</t>
    </r>
  </si>
  <si>
    <r>
      <rPr>
        <b/>
        <sz val="11"/>
        <color theme="1"/>
        <rFont val="Calibri"/>
        <family val="2"/>
        <scheme val="minor"/>
      </rPr>
      <t>Top Region by Average Profit:-</t>
    </r>
    <r>
      <rPr>
        <sz val="11"/>
        <color theme="1"/>
        <rFont val="Calibri"/>
        <family val="2"/>
        <scheme val="minor"/>
      </rPr>
      <t xml:space="preserve"> South</t>
    </r>
  </si>
  <si>
    <t>3.  Sales &amp; Profit Analysis</t>
  </si>
  <si>
    <t>Average Profit by Region:-</t>
  </si>
  <si>
    <t>South region leads in average profit, followed by East and West, with North having the lowest.</t>
  </si>
  <si>
    <t>Category Performance:-</t>
  </si>
  <si>
    <t>Beverages is the top-selling category.</t>
  </si>
  <si>
    <t>Detailed comparison by category within each region is available in grouped bar charts.</t>
  </si>
  <si>
    <t>4.  Pivot Table Insights</t>
  </si>
  <si>
    <t>Total Sales by Category and Region:-</t>
  </si>
  <si>
    <t>A pivot table summarizes total revenue for each category across all regions, helping identify strong and weak areas in the business.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</si>
</sst>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9E0E8"/>
        <bgColor indexed="64"/>
      </patternFill>
    </fill>
    <fill>
      <patternFill patternType="solid">
        <fgColor rgb="FF6883A4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164" fontId="6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left" vertical="center" indent="2"/>
    </xf>
    <xf numFmtId="0" fontId="3" fillId="2" borderId="3" xfId="0" applyFont="1" applyFill="1" applyBorder="1" applyAlignment="1">
      <alignment horizontal="center" vertical="top"/>
    </xf>
    <xf numFmtId="0" fontId="5" fillId="0" borderId="0" xfId="0" applyFont="1"/>
    <xf numFmtId="0" fontId="9" fillId="0" borderId="0" xfId="0" applyFont="1"/>
    <xf numFmtId="0" fontId="4" fillId="2" borderId="2" xfId="0" applyFont="1" applyFill="1" applyBorder="1" applyAlignment="1">
      <alignment horizontal="center" vertical="top"/>
    </xf>
    <xf numFmtId="0" fontId="5" fillId="2" borderId="2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0" fillId="3" borderId="2" xfId="0" applyFill="1" applyBorder="1"/>
    <xf numFmtId="0" fontId="0" fillId="0" borderId="6" xfId="0" applyBorder="1" applyAlignment="1">
      <alignment wrapText="1"/>
    </xf>
    <xf numFmtId="22" fontId="0" fillId="0" borderId="6" xfId="0" applyNumberFormat="1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4" borderId="0" xfId="0" applyFill="1"/>
    <xf numFmtId="0" fontId="10" fillId="3" borderId="0" xfId="0" applyFont="1" applyFill="1"/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0" fillId="0" borderId="11" xfId="0" applyBorder="1" applyAlignment="1">
      <alignment wrapText="1"/>
    </xf>
    <xf numFmtId="22" fontId="0" fillId="0" borderId="11" xfId="0" applyNumberFormat="1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11" fillId="0" borderId="0" xfId="0" applyFont="1"/>
    <xf numFmtId="0" fontId="3" fillId="0" borderId="3" xfId="0" applyFont="1" applyBorder="1" applyAlignment="1">
      <alignment horizontal="center" vertical="top"/>
    </xf>
    <xf numFmtId="0" fontId="12" fillId="6" borderId="7" xfId="0" applyFont="1" applyFill="1" applyBorder="1" applyAlignment="1">
      <alignment wrapText="1"/>
    </xf>
    <xf numFmtId="0" fontId="0" fillId="6" borderId="8" xfId="0" applyFill="1" applyBorder="1" applyAlignment="1">
      <alignment wrapText="1"/>
    </xf>
    <xf numFmtId="0" fontId="12" fillId="6" borderId="8" xfId="0" applyFont="1" applyFill="1" applyBorder="1" applyAlignment="1">
      <alignment wrapText="1"/>
    </xf>
    <xf numFmtId="0" fontId="0" fillId="7" borderId="8" xfId="0" applyFill="1" applyBorder="1" applyAlignment="1">
      <alignment wrapText="1"/>
    </xf>
    <xf numFmtId="0" fontId="0" fillId="8" borderId="7" xfId="0" applyFill="1" applyBorder="1" applyAlignment="1">
      <alignment wrapText="1"/>
    </xf>
    <xf numFmtId="0" fontId="0" fillId="9" borderId="8" xfId="0" applyFill="1" applyBorder="1" applyAlignment="1">
      <alignment horizontal="right" wrapText="1"/>
    </xf>
    <xf numFmtId="0" fontId="2" fillId="6" borderId="7" xfId="0" applyFont="1" applyFill="1" applyBorder="1" applyAlignment="1">
      <alignment wrapText="1"/>
    </xf>
    <xf numFmtId="0" fontId="2" fillId="6" borderId="8" xfId="0" applyFont="1" applyFill="1" applyBorder="1" applyAlignment="1">
      <alignment horizontal="right" wrapText="1"/>
    </xf>
    <xf numFmtId="2" fontId="1" fillId="0" borderId="0" xfId="0" applyNumberFormat="1" applyFont="1"/>
    <xf numFmtId="0" fontId="0" fillId="0" borderId="15" xfId="0" applyBorder="1"/>
    <xf numFmtId="0" fontId="0" fillId="0" borderId="18" xfId="0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5" borderId="12" xfId="0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5" borderId="14" xfId="0" applyFill="1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5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0" borderId="0" xfId="0" applyFont="1"/>
    <xf numFmtId="0" fontId="13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 vertical="top"/>
    </xf>
    <xf numFmtId="164" fontId="15" fillId="0" borderId="0" xfId="0" applyNumberFormat="1" applyFont="1"/>
    <xf numFmtId="0" fontId="9" fillId="0" borderId="4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wrapText="1"/>
    </xf>
    <xf numFmtId="22" fontId="10" fillId="0" borderId="6" xfId="0" applyNumberFormat="1" applyFont="1" applyBorder="1" applyAlignment="1">
      <alignment horizontal="right" wrapText="1"/>
    </xf>
    <xf numFmtId="0" fontId="10" fillId="0" borderId="6" xfId="0" applyFont="1" applyBorder="1" applyAlignment="1">
      <alignment horizontal="right" wrapText="1"/>
    </xf>
    <xf numFmtId="0" fontId="9" fillId="0" borderId="0" xfId="0" applyFont="1" applyAlignment="1">
      <alignment horizontal="left" vertical="center"/>
    </xf>
    <xf numFmtId="0" fontId="10" fillId="4" borderId="0" xfId="0" applyFont="1" applyFill="1"/>
    <xf numFmtId="0" fontId="9" fillId="3" borderId="0" xfId="0" applyFont="1" applyFill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relativeIndent="255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right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5" formatCode="dd/mm/yyyy\ hh:mm"/>
      <alignment horizontal="right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relativeIndent="255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relativeIndent="255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relativeIndent="255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colors>
    <mruColors>
      <color rgb="FF1530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12876</xdr:colOff>
      <xdr:row>3</xdr:row>
      <xdr:rowOff>15241</xdr:rowOff>
    </xdr:from>
    <xdr:to>
      <xdr:col>16</xdr:col>
      <xdr:colOff>441959</xdr:colOff>
      <xdr:row>25</xdr:row>
      <xdr:rowOff>30481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E27FF11-9846-C5CC-569C-DB7E28DE4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350936" y="609601"/>
          <a:ext cx="3659963" cy="403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144780</xdr:colOff>
      <xdr:row>2</xdr:row>
      <xdr:rowOff>167639</xdr:rowOff>
    </xdr:from>
    <xdr:to>
      <xdr:col>17</xdr:col>
      <xdr:colOff>145523</xdr:colOff>
      <xdr:row>25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19D0AD0B-40CA-8CF9-FAAE-CA8B8A69C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046720" y="731519"/>
          <a:ext cx="5388083" cy="43281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7620</xdr:rowOff>
    </xdr:from>
    <xdr:to>
      <xdr:col>7</xdr:col>
      <xdr:colOff>190500</xdr:colOff>
      <xdr:row>25</xdr:row>
      <xdr:rowOff>56606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97BC947-987E-B530-53B3-6E7D1FDE3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09600" y="1912620"/>
          <a:ext cx="3909060" cy="2792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220980</xdr:colOff>
      <xdr:row>10</xdr:row>
      <xdr:rowOff>22860</xdr:rowOff>
    </xdr:from>
    <xdr:to>
      <xdr:col>12</xdr:col>
      <xdr:colOff>220980</xdr:colOff>
      <xdr:row>25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E4A1988D-B801-8000-13A6-2A17E5A94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549140" y="1927860"/>
          <a:ext cx="3048000" cy="2827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7</xdr:col>
      <xdr:colOff>297180</xdr:colOff>
      <xdr:row>45</xdr:row>
      <xdr:rowOff>121920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4442C02C-9034-437D-BB11-B3F537FE2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09600" y="4831080"/>
          <a:ext cx="4015740" cy="3596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309372</xdr:colOff>
      <xdr:row>26</xdr:row>
      <xdr:rowOff>0</xdr:rowOff>
    </xdr:from>
    <xdr:to>
      <xdr:col>14</xdr:col>
      <xdr:colOff>76200</xdr:colOff>
      <xdr:row>42</xdr:row>
      <xdr:rowOff>22860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700895CC-5FA9-DAE3-BB20-0E80CA9D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637532" y="4831080"/>
          <a:ext cx="4034028" cy="2948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J351" totalsRowShown="0" headerRowDxfId="24" dataDxfId="22" headerRowBorderDxfId="23" tableBorderDxfId="21" totalsRowBorderDxfId="20">
  <tableColumns count="10">
    <tableColumn id="1" name="Order ID" dataDxfId="19"/>
    <tableColumn id="2" name="Region" dataDxfId="18"/>
    <tableColumn id="3" name="Country" dataDxfId="17"/>
    <tableColumn id="4" name="Category" dataDxfId="16"/>
    <tableColumn id="5" name="Sales Channel" dataDxfId="15"/>
    <tableColumn id="6" name="Order Priority" dataDxfId="14"/>
    <tableColumn id="7" name="Order Date" dataDxfId="13"/>
    <tableColumn id="8" name="Units Sold" dataDxfId="12"/>
    <tableColumn id="9" name="Unit Price" dataDxfId="11"/>
    <tableColumn id="10" name="Unit Cost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4:L354" totalsRowShown="0" headerRowDxfId="9">
  <tableColumns count="12">
    <tableColumn id="1" name="Order ID" dataDxfId="8"/>
    <tableColumn id="2" name="Region" dataDxfId="7"/>
    <tableColumn id="3" name="Country" dataDxfId="6"/>
    <tableColumn id="4" name="Category" dataDxfId="5"/>
    <tableColumn id="5" name="Sales Channel" dataDxfId="4"/>
    <tableColumn id="6" name="Order Priority" dataDxfId="3"/>
    <tableColumn id="7" name="Order Date" dataDxfId="2"/>
    <tableColumn id="8" name="Units Sold"/>
    <tableColumn id="9" name="Unit Price"/>
    <tableColumn id="10" name="Unit Cost" dataDxfId="1"/>
    <tableColumn id="12" name="Total Revenue" dataDxfId="0">
      <calculatedColumnFormula>Table3[[#This Row],[Units Sold]]*Table3[[#This Row],[Unit Price]]</calculatedColumnFormula>
    </tableColumn>
    <tableColumn id="11" name="Profit">
      <calculatedColumnFormula>(I5-J5)*H5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18930C7-EDA0-4B3B-912A-5311CAB06D08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B25CA4B1-37F2-4C57-9A91-FBFB53566DB6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AWd3PcAZ6X5UdUi4BOH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1"/>
  <sheetViews>
    <sheetView zoomScale="79" workbookViewId="0">
      <selection activeCell="N20" sqref="A1:XFD1048576"/>
    </sheetView>
  </sheetViews>
  <sheetFormatPr defaultRowHeight="21"/>
  <cols>
    <col min="1" max="1" width="13.5703125" style="64" bestFit="1" customWidth="1"/>
    <col min="2" max="2" width="10.42578125" style="64" bestFit="1" customWidth="1"/>
    <col min="3" max="3" width="13.140625" style="64" bestFit="1" customWidth="1"/>
    <col min="4" max="4" width="15.28515625" style="64" bestFit="1" customWidth="1"/>
    <col min="5" max="5" width="19.42578125" style="64" bestFit="1" customWidth="1"/>
    <col min="6" max="6" width="19.7109375" style="64" bestFit="1" customWidth="1"/>
    <col min="7" max="7" width="29.42578125" style="64" bestFit="1" customWidth="1"/>
    <col min="8" max="8" width="14.42578125" style="64" bestFit="1" customWidth="1"/>
    <col min="9" max="9" width="14" style="64" bestFit="1" customWidth="1"/>
    <col min="10" max="10" width="13.28515625" style="64" bestFit="1" customWidth="1"/>
    <col min="11" max="11" width="9.140625" style="64"/>
    <col min="12" max="12" width="17.28515625" style="64" bestFit="1" customWidth="1"/>
    <col min="13" max="13" width="24.28515625" style="64" bestFit="1" customWidth="1"/>
    <col min="14" max="14" width="22.28515625" style="64" bestFit="1" customWidth="1"/>
    <col min="15" max="16" width="9.140625" style="64"/>
    <col min="17" max="17" width="17.28515625" style="64" bestFit="1" customWidth="1"/>
    <col min="18" max="18" width="24.28515625" style="64" bestFit="1" customWidth="1"/>
    <col min="19" max="16384" width="9.140625" style="64"/>
  </cols>
  <sheetData>
    <row r="1" spans="1:10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</row>
    <row r="2" spans="1:10">
      <c r="A2" s="64" t="s">
        <v>10</v>
      </c>
      <c r="B2" s="64" t="s">
        <v>11</v>
      </c>
      <c r="C2" s="64" t="s">
        <v>12</v>
      </c>
      <c r="D2" s="64" t="s">
        <v>13</v>
      </c>
      <c r="E2" s="64" t="s">
        <v>14</v>
      </c>
      <c r="F2" s="64" t="s">
        <v>15</v>
      </c>
      <c r="G2" s="67">
        <v>44927</v>
      </c>
      <c r="H2" s="64">
        <v>235</v>
      </c>
      <c r="I2" s="64">
        <v>152.91999999999999</v>
      </c>
      <c r="J2" s="64">
        <v>153.6</v>
      </c>
    </row>
    <row r="3" spans="1:10">
      <c r="A3" s="64" t="s">
        <v>16</v>
      </c>
      <c r="B3" s="64" t="s">
        <v>17</v>
      </c>
      <c r="C3" s="64" t="s">
        <v>18</v>
      </c>
      <c r="D3" s="64" t="s">
        <v>19</v>
      </c>
      <c r="E3" s="64" t="s">
        <v>14</v>
      </c>
      <c r="F3" s="64" t="s">
        <v>20</v>
      </c>
      <c r="G3" s="67">
        <v>44928</v>
      </c>
      <c r="H3" s="64">
        <v>341</v>
      </c>
      <c r="I3" s="64">
        <v>467.92</v>
      </c>
      <c r="J3" s="64">
        <v>139.84</v>
      </c>
    </row>
    <row r="4" spans="1:10">
      <c r="A4" s="64" t="s">
        <v>21</v>
      </c>
      <c r="B4" s="64" t="s">
        <v>22</v>
      </c>
      <c r="C4" s="64" t="s">
        <v>18</v>
      </c>
      <c r="D4" s="64" t="s">
        <v>23</v>
      </c>
      <c r="E4" s="64" t="s">
        <v>24</v>
      </c>
      <c r="F4" s="64" t="s">
        <v>15</v>
      </c>
      <c r="G4" s="67">
        <v>44929</v>
      </c>
      <c r="H4" s="64">
        <v>179</v>
      </c>
      <c r="I4" s="64">
        <v>473.94</v>
      </c>
      <c r="J4" s="64">
        <v>97.14</v>
      </c>
    </row>
    <row r="5" spans="1:10">
      <c r="A5" s="64" t="s">
        <v>25</v>
      </c>
      <c r="B5" s="64" t="s">
        <v>11</v>
      </c>
      <c r="C5" s="64" t="s">
        <v>26</v>
      </c>
      <c r="D5" s="64" t="s">
        <v>27</v>
      </c>
      <c r="E5" s="64" t="s">
        <v>24</v>
      </c>
      <c r="F5" s="64" t="s">
        <v>28</v>
      </c>
      <c r="G5" s="67">
        <v>44930</v>
      </c>
      <c r="H5" s="64">
        <v>18</v>
      </c>
      <c r="I5" s="64">
        <v>314.52999999999997</v>
      </c>
      <c r="J5" s="64">
        <v>204.87</v>
      </c>
    </row>
    <row r="6" spans="1:10">
      <c r="A6" s="64" t="s">
        <v>29</v>
      </c>
      <c r="B6" s="64" t="s">
        <v>11</v>
      </c>
      <c r="C6" s="64" t="s">
        <v>18</v>
      </c>
      <c r="D6" s="64" t="s">
        <v>27</v>
      </c>
      <c r="E6" s="64" t="s">
        <v>24</v>
      </c>
      <c r="F6" s="64" t="s">
        <v>28</v>
      </c>
      <c r="G6" s="67">
        <v>44931</v>
      </c>
      <c r="H6" s="64">
        <v>472</v>
      </c>
      <c r="I6" s="64">
        <v>392.79</v>
      </c>
      <c r="J6" s="64">
        <v>330.46</v>
      </c>
    </row>
    <row r="7" spans="1:10">
      <c r="A7" s="64" t="s">
        <v>30</v>
      </c>
      <c r="B7" s="64" t="s">
        <v>17</v>
      </c>
      <c r="C7" s="64" t="s">
        <v>31</v>
      </c>
      <c r="D7" s="64" t="s">
        <v>23</v>
      </c>
      <c r="E7" s="64" t="s">
        <v>14</v>
      </c>
      <c r="F7" s="64" t="s">
        <v>15</v>
      </c>
      <c r="G7" s="67">
        <v>44932</v>
      </c>
      <c r="H7" s="64">
        <v>49</v>
      </c>
      <c r="I7" s="64">
        <v>308.07</v>
      </c>
      <c r="J7" s="64">
        <v>113.32</v>
      </c>
    </row>
    <row r="8" spans="1:10">
      <c r="A8" s="64" t="s">
        <v>32</v>
      </c>
      <c r="B8" s="64" t="s">
        <v>22</v>
      </c>
      <c r="C8" s="64" t="s">
        <v>12</v>
      </c>
      <c r="D8" s="64" t="s">
        <v>23</v>
      </c>
      <c r="E8" s="64" t="s">
        <v>14</v>
      </c>
      <c r="F8" s="64" t="s">
        <v>20</v>
      </c>
      <c r="G8" s="67">
        <v>44933</v>
      </c>
      <c r="H8" s="64">
        <v>34</v>
      </c>
      <c r="I8" s="64">
        <v>244.78</v>
      </c>
      <c r="J8" s="64">
        <v>377.07</v>
      </c>
    </row>
    <row r="9" spans="1:10">
      <c r="A9" s="64" t="s">
        <v>33</v>
      </c>
      <c r="B9" s="64" t="s">
        <v>22</v>
      </c>
      <c r="C9" s="64" t="s">
        <v>18</v>
      </c>
      <c r="D9" s="64" t="s">
        <v>13</v>
      </c>
      <c r="E9" s="64" t="s">
        <v>14</v>
      </c>
      <c r="F9" s="64" t="s">
        <v>15</v>
      </c>
      <c r="G9" s="67">
        <v>44934</v>
      </c>
      <c r="H9" s="64">
        <v>270</v>
      </c>
      <c r="I9" s="64">
        <v>332.11</v>
      </c>
      <c r="J9" s="64">
        <v>349.59</v>
      </c>
    </row>
    <row r="10" spans="1:10">
      <c r="A10" s="64" t="s">
        <v>34</v>
      </c>
      <c r="B10" s="64" t="s">
        <v>11</v>
      </c>
      <c r="C10" s="64" t="s">
        <v>18</v>
      </c>
      <c r="D10" s="64" t="s">
        <v>13</v>
      </c>
      <c r="E10" s="64" t="s">
        <v>14</v>
      </c>
      <c r="F10" s="64" t="s">
        <v>20</v>
      </c>
      <c r="G10" s="67">
        <v>44935</v>
      </c>
      <c r="H10" s="64">
        <v>404</v>
      </c>
      <c r="I10" s="64">
        <v>278.74</v>
      </c>
      <c r="J10" s="64">
        <v>66.38</v>
      </c>
    </row>
    <row r="11" spans="1:10">
      <c r="A11" s="64" t="s">
        <v>35</v>
      </c>
      <c r="C11" s="64" t="s">
        <v>26</v>
      </c>
      <c r="D11" s="64" t="s">
        <v>27</v>
      </c>
      <c r="E11" s="64" t="s">
        <v>14</v>
      </c>
      <c r="F11" s="64" t="s">
        <v>28</v>
      </c>
      <c r="G11" s="67">
        <v>44936</v>
      </c>
      <c r="H11" s="64">
        <v>452</v>
      </c>
      <c r="I11" s="64">
        <v>300.75</v>
      </c>
      <c r="J11" s="64">
        <v>314.94</v>
      </c>
    </row>
    <row r="12" spans="1:10">
      <c r="A12" s="64" t="s">
        <v>36</v>
      </c>
      <c r="B12" s="64" t="s">
        <v>11</v>
      </c>
      <c r="C12" s="64" t="s">
        <v>26</v>
      </c>
      <c r="D12" s="64" t="s">
        <v>19</v>
      </c>
      <c r="E12" s="64" t="s">
        <v>14</v>
      </c>
      <c r="F12" s="64" t="s">
        <v>20</v>
      </c>
      <c r="G12" s="67">
        <v>44937</v>
      </c>
      <c r="H12" s="64">
        <v>235</v>
      </c>
      <c r="I12" s="64">
        <v>393</v>
      </c>
      <c r="J12" s="64">
        <v>230.69</v>
      </c>
    </row>
    <row r="13" spans="1:10">
      <c r="A13" s="64" t="s">
        <v>37</v>
      </c>
      <c r="B13" s="64" t="s">
        <v>11</v>
      </c>
      <c r="C13" s="64" t="s">
        <v>31</v>
      </c>
      <c r="D13" s="64" t="s">
        <v>27</v>
      </c>
      <c r="E13" s="64" t="s">
        <v>24</v>
      </c>
      <c r="F13" s="64" t="s">
        <v>28</v>
      </c>
      <c r="G13" s="67">
        <v>44938</v>
      </c>
      <c r="H13" s="64">
        <v>481</v>
      </c>
      <c r="I13" s="64">
        <v>243.05</v>
      </c>
      <c r="J13" s="64">
        <v>227.5</v>
      </c>
    </row>
    <row r="14" spans="1:10">
      <c r="A14" s="64" t="s">
        <v>38</v>
      </c>
      <c r="B14" s="64" t="s">
        <v>11</v>
      </c>
      <c r="C14" s="64" t="s">
        <v>12</v>
      </c>
      <c r="D14" s="64" t="s">
        <v>19</v>
      </c>
      <c r="E14" s="64" t="s">
        <v>24</v>
      </c>
      <c r="F14" s="64" t="s">
        <v>20</v>
      </c>
      <c r="G14" s="67">
        <v>44939</v>
      </c>
      <c r="H14" s="64">
        <v>133</v>
      </c>
      <c r="I14" s="64">
        <v>25.17</v>
      </c>
      <c r="J14" s="64">
        <v>157.63999999999999</v>
      </c>
    </row>
    <row r="15" spans="1:10">
      <c r="A15" s="64" t="s">
        <v>39</v>
      </c>
      <c r="B15" s="64" t="s">
        <v>11</v>
      </c>
      <c r="C15" s="64" t="s">
        <v>26</v>
      </c>
      <c r="D15" s="64" t="s">
        <v>19</v>
      </c>
      <c r="E15" s="64" t="s">
        <v>24</v>
      </c>
      <c r="F15" s="64" t="s">
        <v>20</v>
      </c>
      <c r="G15" s="67">
        <v>44940</v>
      </c>
      <c r="H15" s="64">
        <v>472</v>
      </c>
      <c r="I15" s="64">
        <v>86.18</v>
      </c>
      <c r="J15" s="64">
        <v>201.46</v>
      </c>
    </row>
    <row r="16" spans="1:10">
      <c r="A16" s="64" t="s">
        <v>40</v>
      </c>
      <c r="B16" s="64" t="s">
        <v>17</v>
      </c>
      <c r="C16" s="64" t="s">
        <v>18</v>
      </c>
      <c r="D16" s="64" t="s">
        <v>13</v>
      </c>
      <c r="E16" s="64" t="s">
        <v>24</v>
      </c>
      <c r="F16" s="64" t="s">
        <v>20</v>
      </c>
      <c r="G16" s="67">
        <v>44941</v>
      </c>
      <c r="H16" s="64">
        <v>47</v>
      </c>
      <c r="I16" s="64">
        <v>222.11</v>
      </c>
      <c r="J16" s="64">
        <v>160.08000000000001</v>
      </c>
    </row>
    <row r="17" spans="1:10">
      <c r="A17" s="64" t="s">
        <v>41</v>
      </c>
      <c r="B17" s="64" t="s">
        <v>22</v>
      </c>
      <c r="C17" s="64" t="s">
        <v>12</v>
      </c>
      <c r="D17" s="64" t="s">
        <v>42</v>
      </c>
      <c r="E17" s="64" t="s">
        <v>14</v>
      </c>
      <c r="F17" s="64" t="s">
        <v>15</v>
      </c>
      <c r="G17" s="67">
        <v>44942</v>
      </c>
      <c r="H17" s="64">
        <v>337</v>
      </c>
      <c r="I17" s="64">
        <v>363.79</v>
      </c>
      <c r="J17" s="64">
        <v>216.81</v>
      </c>
    </row>
    <row r="18" spans="1:10">
      <c r="A18" s="64" t="s">
        <v>43</v>
      </c>
      <c r="B18" s="64" t="s">
        <v>17</v>
      </c>
      <c r="C18" s="64" t="s">
        <v>12</v>
      </c>
      <c r="D18" s="64" t="s">
        <v>42</v>
      </c>
      <c r="E18" s="64" t="s">
        <v>14</v>
      </c>
      <c r="F18" s="64" t="s">
        <v>15</v>
      </c>
      <c r="G18" s="67">
        <v>44943</v>
      </c>
      <c r="H18" s="64">
        <v>260</v>
      </c>
      <c r="I18" s="64">
        <v>298.67</v>
      </c>
      <c r="J18" s="64">
        <v>251.92</v>
      </c>
    </row>
    <row r="19" spans="1:10">
      <c r="A19" s="64" t="s">
        <v>44</v>
      </c>
      <c r="C19" s="64" t="s">
        <v>18</v>
      </c>
      <c r="D19" s="64" t="s">
        <v>23</v>
      </c>
      <c r="E19" s="64" t="s">
        <v>24</v>
      </c>
      <c r="F19" s="64" t="s">
        <v>28</v>
      </c>
      <c r="G19" s="67">
        <v>44944</v>
      </c>
      <c r="H19" s="64">
        <v>398</v>
      </c>
      <c r="I19" s="64">
        <v>326.89999999999998</v>
      </c>
      <c r="J19" s="64">
        <v>270.37</v>
      </c>
    </row>
    <row r="20" spans="1:10">
      <c r="A20" s="64" t="s">
        <v>45</v>
      </c>
      <c r="B20" s="64" t="s">
        <v>17</v>
      </c>
      <c r="C20" s="64" t="s">
        <v>26</v>
      </c>
      <c r="D20" s="64" t="s">
        <v>13</v>
      </c>
      <c r="E20" s="64" t="s">
        <v>14</v>
      </c>
      <c r="F20" s="64" t="s">
        <v>28</v>
      </c>
      <c r="G20" s="67">
        <v>44945</v>
      </c>
      <c r="H20" s="64">
        <v>185</v>
      </c>
      <c r="I20" s="64">
        <v>242.24</v>
      </c>
      <c r="J20" s="64">
        <v>213.93</v>
      </c>
    </row>
    <row r="21" spans="1:10">
      <c r="A21" s="64" t="s">
        <v>46</v>
      </c>
      <c r="B21" s="64" t="s">
        <v>11</v>
      </c>
      <c r="C21" s="64" t="s">
        <v>18</v>
      </c>
      <c r="D21" s="64" t="s">
        <v>19</v>
      </c>
      <c r="E21" s="64" t="s">
        <v>24</v>
      </c>
      <c r="F21" s="64" t="s">
        <v>15</v>
      </c>
      <c r="G21" s="67">
        <v>44946</v>
      </c>
      <c r="H21" s="64">
        <v>99</v>
      </c>
      <c r="I21" s="64">
        <v>309.79000000000002</v>
      </c>
      <c r="J21" s="64">
        <v>289.13</v>
      </c>
    </row>
    <row r="22" spans="1:10">
      <c r="A22" s="64" t="s">
        <v>47</v>
      </c>
      <c r="B22" s="64" t="s">
        <v>48</v>
      </c>
      <c r="C22" s="64" t="s">
        <v>12</v>
      </c>
      <c r="D22" s="64" t="s">
        <v>42</v>
      </c>
      <c r="E22" s="64" t="s">
        <v>24</v>
      </c>
      <c r="F22" s="64" t="s">
        <v>28</v>
      </c>
      <c r="G22" s="67">
        <v>44947</v>
      </c>
      <c r="H22" s="64">
        <v>411</v>
      </c>
      <c r="I22" s="64">
        <v>167.86</v>
      </c>
      <c r="J22" s="64">
        <v>58.23</v>
      </c>
    </row>
    <row r="23" spans="1:10">
      <c r="A23" s="64" t="s">
        <v>49</v>
      </c>
      <c r="B23" s="64" t="s">
        <v>22</v>
      </c>
      <c r="C23" s="64" t="s">
        <v>50</v>
      </c>
      <c r="D23" s="64" t="s">
        <v>19</v>
      </c>
      <c r="E23" s="64" t="s">
        <v>24</v>
      </c>
      <c r="F23" s="64" t="s">
        <v>15</v>
      </c>
      <c r="G23" s="67">
        <v>44948</v>
      </c>
      <c r="H23" s="64">
        <v>463</v>
      </c>
      <c r="I23" s="64">
        <v>237.74</v>
      </c>
      <c r="J23" s="64">
        <v>86.37</v>
      </c>
    </row>
    <row r="24" spans="1:10">
      <c r="A24" s="64" t="s">
        <v>51</v>
      </c>
      <c r="B24" s="64" t="s">
        <v>48</v>
      </c>
      <c r="C24" s="64" t="s">
        <v>50</v>
      </c>
      <c r="D24" s="64" t="s">
        <v>42</v>
      </c>
      <c r="E24" s="64" t="s">
        <v>14</v>
      </c>
      <c r="F24" s="64" t="s">
        <v>20</v>
      </c>
      <c r="G24" s="67">
        <v>44949</v>
      </c>
      <c r="H24" s="64">
        <v>46</v>
      </c>
      <c r="I24" s="64">
        <v>373.42</v>
      </c>
      <c r="J24" s="64">
        <v>327.86</v>
      </c>
    </row>
    <row r="25" spans="1:10">
      <c r="A25" s="64" t="s">
        <v>52</v>
      </c>
      <c r="B25" s="64" t="s">
        <v>17</v>
      </c>
      <c r="C25" s="64" t="s">
        <v>31</v>
      </c>
      <c r="D25" s="64" t="s">
        <v>42</v>
      </c>
      <c r="E25" s="64" t="s">
        <v>24</v>
      </c>
      <c r="F25" s="64" t="s">
        <v>28</v>
      </c>
      <c r="G25" s="67">
        <v>44950</v>
      </c>
      <c r="H25" s="64">
        <v>325</v>
      </c>
      <c r="I25" s="64">
        <v>436.56</v>
      </c>
      <c r="J25" s="64">
        <v>130.37</v>
      </c>
    </row>
    <row r="26" spans="1:10">
      <c r="A26" s="64" t="s">
        <v>53</v>
      </c>
      <c r="B26" s="64" t="s">
        <v>17</v>
      </c>
      <c r="C26" s="64" t="s">
        <v>18</v>
      </c>
      <c r="E26" s="64" t="s">
        <v>24</v>
      </c>
      <c r="F26" s="64" t="s">
        <v>28</v>
      </c>
      <c r="G26" s="67">
        <v>44951</v>
      </c>
      <c r="H26" s="64">
        <v>185</v>
      </c>
      <c r="I26" s="64">
        <v>219.66</v>
      </c>
      <c r="J26" s="64">
        <v>11.11</v>
      </c>
    </row>
    <row r="27" spans="1:10">
      <c r="A27" s="64" t="s">
        <v>54</v>
      </c>
      <c r="B27" s="64" t="s">
        <v>48</v>
      </c>
      <c r="C27" s="64" t="s">
        <v>18</v>
      </c>
      <c r="D27" s="64" t="s">
        <v>13</v>
      </c>
      <c r="E27" s="64" t="s">
        <v>24</v>
      </c>
      <c r="F27" s="64" t="s">
        <v>15</v>
      </c>
      <c r="G27" s="67">
        <v>44952</v>
      </c>
      <c r="H27" s="64">
        <v>470</v>
      </c>
      <c r="I27" s="64">
        <v>26.61</v>
      </c>
      <c r="J27" s="64">
        <v>63.21</v>
      </c>
    </row>
    <row r="28" spans="1:10">
      <c r="A28" s="64" t="s">
        <v>55</v>
      </c>
      <c r="B28" s="64" t="s">
        <v>48</v>
      </c>
      <c r="C28" s="64" t="s">
        <v>31</v>
      </c>
      <c r="D28" s="64" t="s">
        <v>27</v>
      </c>
      <c r="E28" s="64" t="s">
        <v>14</v>
      </c>
      <c r="F28" s="64" t="s">
        <v>28</v>
      </c>
      <c r="G28" s="67">
        <v>44953</v>
      </c>
      <c r="H28" s="64">
        <v>293</v>
      </c>
      <c r="I28" s="64">
        <v>85.03</v>
      </c>
      <c r="J28" s="64">
        <v>91</v>
      </c>
    </row>
    <row r="29" spans="1:10">
      <c r="A29" s="64" t="s">
        <v>56</v>
      </c>
      <c r="B29" s="64" t="s">
        <v>48</v>
      </c>
      <c r="C29" s="64" t="s">
        <v>31</v>
      </c>
      <c r="D29" s="64" t="s">
        <v>19</v>
      </c>
      <c r="E29" s="64" t="s">
        <v>14</v>
      </c>
      <c r="F29" s="64" t="s">
        <v>28</v>
      </c>
      <c r="G29" s="67">
        <v>44954</v>
      </c>
      <c r="H29" s="64">
        <v>462</v>
      </c>
      <c r="J29" s="64">
        <v>383.01</v>
      </c>
    </row>
    <row r="30" spans="1:10">
      <c r="A30" s="64" t="s">
        <v>57</v>
      </c>
      <c r="B30" s="64" t="s">
        <v>17</v>
      </c>
      <c r="C30" s="64" t="s">
        <v>31</v>
      </c>
      <c r="D30" s="64" t="s">
        <v>13</v>
      </c>
      <c r="E30" s="64" t="s">
        <v>24</v>
      </c>
      <c r="F30" s="64" t="s">
        <v>20</v>
      </c>
      <c r="G30" s="67">
        <v>44955</v>
      </c>
      <c r="H30" s="64">
        <v>470</v>
      </c>
      <c r="I30" s="64">
        <v>328.37</v>
      </c>
      <c r="J30" s="64">
        <v>230.07</v>
      </c>
    </row>
    <row r="31" spans="1:10">
      <c r="A31" s="64" t="s">
        <v>58</v>
      </c>
      <c r="B31" s="64" t="s">
        <v>17</v>
      </c>
      <c r="C31" s="64" t="s">
        <v>12</v>
      </c>
      <c r="D31" s="64" t="s">
        <v>13</v>
      </c>
      <c r="E31" s="64" t="s">
        <v>14</v>
      </c>
      <c r="F31" s="64" t="s">
        <v>28</v>
      </c>
      <c r="G31" s="67">
        <v>44956</v>
      </c>
      <c r="H31" s="64">
        <v>90</v>
      </c>
      <c r="I31" s="64">
        <v>169.5</v>
      </c>
      <c r="J31" s="64">
        <v>373.23</v>
      </c>
    </row>
    <row r="32" spans="1:10">
      <c r="A32" s="64" t="s">
        <v>59</v>
      </c>
      <c r="C32" s="64" t="s">
        <v>18</v>
      </c>
      <c r="D32" s="64" t="s">
        <v>13</v>
      </c>
      <c r="E32" s="64" t="s">
        <v>14</v>
      </c>
      <c r="F32" s="64" t="s">
        <v>20</v>
      </c>
      <c r="G32" s="67">
        <v>44957</v>
      </c>
      <c r="H32" s="64">
        <v>123</v>
      </c>
      <c r="I32" s="64">
        <v>273.52999999999997</v>
      </c>
      <c r="J32" s="64">
        <v>230.92</v>
      </c>
    </row>
    <row r="33" spans="1:10">
      <c r="A33" s="64" t="s">
        <v>60</v>
      </c>
      <c r="B33" s="64" t="s">
        <v>22</v>
      </c>
      <c r="C33" s="64" t="s">
        <v>12</v>
      </c>
      <c r="D33" s="64" t="s">
        <v>13</v>
      </c>
      <c r="E33" s="64" t="s">
        <v>14</v>
      </c>
      <c r="F33" s="64" t="s">
        <v>15</v>
      </c>
      <c r="G33" s="67">
        <v>44958</v>
      </c>
      <c r="H33" s="64">
        <v>49</v>
      </c>
      <c r="I33" s="64">
        <v>249.17</v>
      </c>
      <c r="J33" s="64">
        <v>192.78</v>
      </c>
    </row>
    <row r="34" spans="1:10">
      <c r="A34" s="64" t="s">
        <v>61</v>
      </c>
      <c r="B34" s="64" t="s">
        <v>17</v>
      </c>
      <c r="C34" s="64" t="s">
        <v>31</v>
      </c>
      <c r="D34" s="64" t="s">
        <v>13</v>
      </c>
      <c r="E34" s="64" t="s">
        <v>14</v>
      </c>
      <c r="F34" s="64" t="s">
        <v>28</v>
      </c>
      <c r="G34" s="67">
        <v>44959</v>
      </c>
      <c r="H34" s="64">
        <v>310</v>
      </c>
      <c r="I34" s="64">
        <v>45.36</v>
      </c>
      <c r="J34" s="64">
        <v>126.86</v>
      </c>
    </row>
    <row r="35" spans="1:10">
      <c r="A35" s="64" t="s">
        <v>62</v>
      </c>
      <c r="B35" s="64" t="s">
        <v>48</v>
      </c>
      <c r="C35" s="64" t="s">
        <v>18</v>
      </c>
      <c r="D35" s="64" t="s">
        <v>23</v>
      </c>
      <c r="E35" s="64" t="s">
        <v>14</v>
      </c>
      <c r="F35" s="64" t="s">
        <v>20</v>
      </c>
      <c r="G35" s="67">
        <v>44960</v>
      </c>
      <c r="H35" s="64">
        <v>233</v>
      </c>
      <c r="I35" s="64">
        <v>204.61</v>
      </c>
      <c r="J35" s="64">
        <v>243.34</v>
      </c>
    </row>
    <row r="36" spans="1:10">
      <c r="A36" s="64" t="s">
        <v>63</v>
      </c>
      <c r="B36" s="64" t="s">
        <v>48</v>
      </c>
      <c r="C36" s="64" t="s">
        <v>12</v>
      </c>
      <c r="D36" s="64" t="s">
        <v>19</v>
      </c>
      <c r="E36" s="64" t="s">
        <v>14</v>
      </c>
      <c r="F36" s="64" t="s">
        <v>15</v>
      </c>
      <c r="G36" s="67">
        <v>44961</v>
      </c>
      <c r="H36" s="64">
        <v>327</v>
      </c>
      <c r="I36" s="64">
        <v>114.18</v>
      </c>
      <c r="J36" s="64">
        <v>57.4</v>
      </c>
    </row>
    <row r="37" spans="1:10">
      <c r="A37" s="64" t="s">
        <v>64</v>
      </c>
      <c r="B37" s="64" t="s">
        <v>22</v>
      </c>
      <c r="C37" s="64" t="s">
        <v>12</v>
      </c>
      <c r="D37" s="64" t="s">
        <v>13</v>
      </c>
      <c r="E37" s="64" t="s">
        <v>14</v>
      </c>
      <c r="F37" s="64" t="s">
        <v>28</v>
      </c>
      <c r="G37" s="67">
        <v>44962</v>
      </c>
      <c r="H37" s="64">
        <v>358</v>
      </c>
      <c r="I37" s="64">
        <v>212.11</v>
      </c>
      <c r="J37" s="64">
        <v>359.51</v>
      </c>
    </row>
    <row r="38" spans="1:10">
      <c r="A38" s="64" t="s">
        <v>65</v>
      </c>
      <c r="B38" s="64" t="s">
        <v>17</v>
      </c>
      <c r="C38" s="64" t="s">
        <v>31</v>
      </c>
      <c r="D38" s="64" t="s">
        <v>19</v>
      </c>
      <c r="E38" s="64" t="s">
        <v>14</v>
      </c>
      <c r="F38" s="64" t="s">
        <v>15</v>
      </c>
      <c r="G38" s="67">
        <v>44963</v>
      </c>
      <c r="H38" s="64">
        <v>124</v>
      </c>
      <c r="J38" s="64">
        <v>332.07</v>
      </c>
    </row>
    <row r="39" spans="1:10">
      <c r="A39" s="64" t="s">
        <v>66</v>
      </c>
      <c r="B39" s="64" t="s">
        <v>22</v>
      </c>
      <c r="C39" s="64" t="s">
        <v>18</v>
      </c>
      <c r="D39" s="64" t="s">
        <v>23</v>
      </c>
      <c r="E39" s="64" t="s">
        <v>14</v>
      </c>
      <c r="F39" s="64" t="s">
        <v>28</v>
      </c>
      <c r="G39" s="67">
        <v>44964</v>
      </c>
      <c r="H39" s="64">
        <v>195</v>
      </c>
      <c r="I39" s="64">
        <v>421.02</v>
      </c>
      <c r="J39" s="64">
        <v>128.38</v>
      </c>
    </row>
    <row r="40" spans="1:10">
      <c r="A40" s="64" t="s">
        <v>67</v>
      </c>
      <c r="B40" s="64" t="s">
        <v>22</v>
      </c>
      <c r="C40" s="64" t="s">
        <v>31</v>
      </c>
      <c r="D40" s="64" t="s">
        <v>23</v>
      </c>
      <c r="E40" s="64" t="s">
        <v>14</v>
      </c>
      <c r="F40" s="64" t="s">
        <v>15</v>
      </c>
      <c r="G40" s="67">
        <v>44965</v>
      </c>
      <c r="I40" s="64">
        <v>91.23</v>
      </c>
      <c r="J40" s="64">
        <v>381.21</v>
      </c>
    </row>
    <row r="41" spans="1:10">
      <c r="A41" s="64" t="s">
        <v>68</v>
      </c>
      <c r="B41" s="64" t="s">
        <v>11</v>
      </c>
      <c r="C41" s="64" t="s">
        <v>18</v>
      </c>
      <c r="D41" s="64" t="s">
        <v>19</v>
      </c>
      <c r="E41" s="64" t="s">
        <v>24</v>
      </c>
      <c r="F41" s="64" t="s">
        <v>15</v>
      </c>
      <c r="G41" s="67">
        <v>44966</v>
      </c>
      <c r="H41" s="64">
        <v>65</v>
      </c>
      <c r="I41" s="64">
        <v>480.59</v>
      </c>
      <c r="J41" s="64">
        <v>330.43</v>
      </c>
    </row>
    <row r="42" spans="1:10">
      <c r="A42" s="64" t="s">
        <v>69</v>
      </c>
      <c r="B42" s="64" t="s">
        <v>11</v>
      </c>
      <c r="C42" s="64" t="s">
        <v>50</v>
      </c>
      <c r="D42" s="64" t="s">
        <v>42</v>
      </c>
      <c r="E42" s="64" t="s">
        <v>24</v>
      </c>
      <c r="F42" s="64" t="s">
        <v>20</v>
      </c>
      <c r="G42" s="67">
        <v>44967</v>
      </c>
      <c r="H42" s="64">
        <v>49</v>
      </c>
      <c r="I42" s="64">
        <v>210.87</v>
      </c>
      <c r="J42" s="64">
        <v>267.19</v>
      </c>
    </row>
    <row r="43" spans="1:10">
      <c r="A43" s="64" t="s">
        <v>70</v>
      </c>
      <c r="B43" s="64" t="s">
        <v>11</v>
      </c>
      <c r="C43" s="64" t="s">
        <v>26</v>
      </c>
      <c r="D43" s="64" t="s">
        <v>27</v>
      </c>
      <c r="E43" s="64" t="s">
        <v>14</v>
      </c>
      <c r="F43" s="64" t="s">
        <v>15</v>
      </c>
      <c r="G43" s="67">
        <v>44968</v>
      </c>
      <c r="H43" s="64">
        <v>363</v>
      </c>
      <c r="I43" s="64">
        <v>423.89</v>
      </c>
      <c r="J43" s="64">
        <v>50.46</v>
      </c>
    </row>
    <row r="44" spans="1:10">
      <c r="A44" s="64" t="s">
        <v>71</v>
      </c>
      <c r="B44" s="64" t="s">
        <v>48</v>
      </c>
      <c r="C44" s="64" t="s">
        <v>26</v>
      </c>
      <c r="D44" s="64" t="s">
        <v>42</v>
      </c>
      <c r="E44" s="64" t="s">
        <v>24</v>
      </c>
      <c r="F44" s="64" t="s">
        <v>28</v>
      </c>
      <c r="G44" s="67">
        <v>44969</v>
      </c>
      <c r="H44" s="64">
        <v>49</v>
      </c>
      <c r="I44" s="64">
        <v>316.24</v>
      </c>
      <c r="J44" s="64">
        <v>192.34</v>
      </c>
    </row>
    <row r="45" spans="1:10">
      <c r="A45" s="64" t="s">
        <v>72</v>
      </c>
      <c r="B45" s="64" t="s">
        <v>17</v>
      </c>
      <c r="C45" s="64" t="s">
        <v>26</v>
      </c>
      <c r="D45" s="64" t="s">
        <v>42</v>
      </c>
      <c r="E45" s="64" t="s">
        <v>24</v>
      </c>
      <c r="F45" s="64" t="s">
        <v>28</v>
      </c>
      <c r="G45" s="67">
        <v>44970</v>
      </c>
      <c r="H45" s="64">
        <v>356</v>
      </c>
      <c r="I45" s="64">
        <v>369</v>
      </c>
      <c r="J45" s="64">
        <v>203.43</v>
      </c>
    </row>
    <row r="46" spans="1:10">
      <c r="A46" s="64" t="s">
        <v>73</v>
      </c>
      <c r="B46" s="64" t="s">
        <v>17</v>
      </c>
      <c r="C46" s="64" t="s">
        <v>31</v>
      </c>
      <c r="D46" s="64" t="s">
        <v>42</v>
      </c>
      <c r="E46" s="64" t="s">
        <v>14</v>
      </c>
      <c r="F46" s="64" t="s">
        <v>20</v>
      </c>
      <c r="G46" s="67">
        <v>44971</v>
      </c>
      <c r="H46" s="64">
        <v>470</v>
      </c>
      <c r="J46" s="64">
        <v>94.56</v>
      </c>
    </row>
    <row r="47" spans="1:10">
      <c r="A47" s="64" t="s">
        <v>74</v>
      </c>
      <c r="B47" s="64" t="s">
        <v>17</v>
      </c>
      <c r="C47" s="64" t="s">
        <v>50</v>
      </c>
      <c r="D47" s="64" t="s">
        <v>13</v>
      </c>
      <c r="E47" s="64" t="s">
        <v>14</v>
      </c>
      <c r="F47" s="64" t="s">
        <v>28</v>
      </c>
      <c r="G47" s="67">
        <v>44972</v>
      </c>
      <c r="H47" s="64">
        <v>246</v>
      </c>
      <c r="I47" s="64">
        <v>254.9</v>
      </c>
      <c r="J47" s="64">
        <v>33.83</v>
      </c>
    </row>
    <row r="48" spans="1:10">
      <c r="A48" s="64" t="s">
        <v>75</v>
      </c>
      <c r="B48" s="64" t="s">
        <v>17</v>
      </c>
      <c r="C48" s="64" t="s">
        <v>18</v>
      </c>
      <c r="D48" s="64" t="s">
        <v>23</v>
      </c>
      <c r="E48" s="64" t="s">
        <v>14</v>
      </c>
      <c r="F48" s="64" t="s">
        <v>28</v>
      </c>
      <c r="G48" s="67">
        <v>44973</v>
      </c>
      <c r="H48" s="64">
        <v>298</v>
      </c>
      <c r="I48" s="64">
        <v>273.93</v>
      </c>
      <c r="J48" s="64">
        <v>311.14</v>
      </c>
    </row>
    <row r="49" spans="1:10">
      <c r="A49" s="64" t="s">
        <v>76</v>
      </c>
      <c r="B49" s="64" t="s">
        <v>11</v>
      </c>
      <c r="C49" s="64" t="s">
        <v>12</v>
      </c>
      <c r="D49" s="64" t="s">
        <v>42</v>
      </c>
      <c r="E49" s="64" t="s">
        <v>24</v>
      </c>
      <c r="F49" s="64" t="s">
        <v>28</v>
      </c>
      <c r="G49" s="67">
        <v>44974</v>
      </c>
      <c r="H49" s="64">
        <v>271</v>
      </c>
      <c r="I49" s="64">
        <v>259.43</v>
      </c>
      <c r="J49" s="64">
        <v>50.57</v>
      </c>
    </row>
    <row r="50" spans="1:10">
      <c r="A50" s="64" t="s">
        <v>77</v>
      </c>
      <c r="B50" s="64" t="s">
        <v>48</v>
      </c>
      <c r="C50" s="64" t="s">
        <v>18</v>
      </c>
      <c r="D50" s="64" t="s">
        <v>23</v>
      </c>
      <c r="E50" s="64" t="s">
        <v>24</v>
      </c>
      <c r="F50" s="64" t="s">
        <v>15</v>
      </c>
      <c r="G50" s="67">
        <v>44975</v>
      </c>
      <c r="H50" s="64">
        <v>225</v>
      </c>
      <c r="I50" s="64">
        <v>296.08999999999997</v>
      </c>
      <c r="J50" s="64">
        <v>238.53</v>
      </c>
    </row>
    <row r="51" spans="1:10">
      <c r="A51" s="64" t="s">
        <v>78</v>
      </c>
      <c r="C51" s="64" t="s">
        <v>12</v>
      </c>
      <c r="D51" s="64" t="s">
        <v>19</v>
      </c>
      <c r="E51" s="64" t="s">
        <v>14</v>
      </c>
      <c r="F51" s="64" t="s">
        <v>15</v>
      </c>
      <c r="G51" s="67">
        <v>44976</v>
      </c>
      <c r="H51" s="64">
        <v>156</v>
      </c>
      <c r="I51" s="64">
        <v>19.55</v>
      </c>
      <c r="J51" s="64">
        <v>374.71</v>
      </c>
    </row>
    <row r="52" spans="1:10">
      <c r="A52" s="64" t="s">
        <v>79</v>
      </c>
      <c r="B52" s="64" t="s">
        <v>11</v>
      </c>
      <c r="C52" s="64" t="s">
        <v>18</v>
      </c>
      <c r="D52" s="64" t="s">
        <v>27</v>
      </c>
      <c r="E52" s="64" t="s">
        <v>14</v>
      </c>
      <c r="F52" s="64" t="s">
        <v>28</v>
      </c>
      <c r="G52" s="67">
        <v>44977</v>
      </c>
      <c r="H52" s="64">
        <v>345</v>
      </c>
      <c r="I52" s="64">
        <v>200.78</v>
      </c>
      <c r="J52" s="64">
        <v>350.69</v>
      </c>
    </row>
    <row r="53" spans="1:10">
      <c r="A53" s="64" t="s">
        <v>80</v>
      </c>
      <c r="B53" s="64" t="s">
        <v>48</v>
      </c>
      <c r="C53" s="64" t="s">
        <v>50</v>
      </c>
      <c r="D53" s="64" t="s">
        <v>19</v>
      </c>
      <c r="E53" s="64" t="s">
        <v>14</v>
      </c>
      <c r="F53" s="64" t="s">
        <v>20</v>
      </c>
      <c r="G53" s="67">
        <v>44978</v>
      </c>
      <c r="H53" s="64">
        <v>177</v>
      </c>
      <c r="I53" s="64">
        <v>305.06</v>
      </c>
      <c r="J53" s="64">
        <v>112.55</v>
      </c>
    </row>
    <row r="54" spans="1:10">
      <c r="A54" s="64" t="s">
        <v>81</v>
      </c>
      <c r="B54" s="64" t="s">
        <v>11</v>
      </c>
      <c r="C54" s="64" t="s">
        <v>12</v>
      </c>
      <c r="D54" s="64" t="s">
        <v>19</v>
      </c>
      <c r="E54" s="64" t="s">
        <v>24</v>
      </c>
      <c r="F54" s="64" t="s">
        <v>15</v>
      </c>
      <c r="G54" s="67">
        <v>44979</v>
      </c>
      <c r="H54" s="64">
        <v>101</v>
      </c>
      <c r="I54" s="64">
        <v>300.87</v>
      </c>
      <c r="J54" s="64">
        <v>340.88</v>
      </c>
    </row>
    <row r="55" spans="1:10">
      <c r="A55" s="64" t="s">
        <v>82</v>
      </c>
      <c r="B55" s="64" t="s">
        <v>17</v>
      </c>
      <c r="C55" s="64" t="s">
        <v>31</v>
      </c>
      <c r="D55" s="64" t="s">
        <v>13</v>
      </c>
      <c r="E55" s="64" t="s">
        <v>24</v>
      </c>
      <c r="F55" s="64" t="s">
        <v>20</v>
      </c>
      <c r="G55" s="67">
        <v>44980</v>
      </c>
      <c r="H55" s="64">
        <v>362</v>
      </c>
      <c r="I55" s="64">
        <v>397.51</v>
      </c>
      <c r="J55" s="64">
        <v>2.13</v>
      </c>
    </row>
    <row r="56" spans="1:10">
      <c r="A56" s="64" t="s">
        <v>83</v>
      </c>
      <c r="B56" s="64" t="s">
        <v>11</v>
      </c>
      <c r="C56" s="64" t="s">
        <v>18</v>
      </c>
      <c r="D56" s="64" t="s">
        <v>27</v>
      </c>
      <c r="E56" s="64" t="s">
        <v>24</v>
      </c>
      <c r="F56" s="64" t="s">
        <v>28</v>
      </c>
      <c r="G56" s="67">
        <v>44981</v>
      </c>
      <c r="H56" s="64">
        <v>68</v>
      </c>
      <c r="I56" s="64">
        <v>329.23</v>
      </c>
      <c r="J56" s="64">
        <v>9.0399999999999991</v>
      </c>
    </row>
    <row r="57" spans="1:10">
      <c r="A57" s="64" t="s">
        <v>84</v>
      </c>
      <c r="B57" s="64" t="s">
        <v>17</v>
      </c>
      <c r="C57" s="64" t="s">
        <v>18</v>
      </c>
      <c r="D57" s="64" t="s">
        <v>19</v>
      </c>
      <c r="E57" s="64" t="s">
        <v>24</v>
      </c>
      <c r="F57" s="64" t="s">
        <v>28</v>
      </c>
      <c r="G57" s="67">
        <v>44982</v>
      </c>
      <c r="H57" s="64">
        <v>68</v>
      </c>
      <c r="I57" s="64">
        <v>496.11</v>
      </c>
      <c r="J57" s="64">
        <v>241.82</v>
      </c>
    </row>
    <row r="58" spans="1:10">
      <c r="A58" s="64" t="s">
        <v>85</v>
      </c>
      <c r="B58" s="64" t="s">
        <v>17</v>
      </c>
      <c r="C58" s="64" t="s">
        <v>12</v>
      </c>
      <c r="D58" s="64" t="s">
        <v>19</v>
      </c>
      <c r="E58" s="64" t="s">
        <v>14</v>
      </c>
      <c r="F58" s="64" t="s">
        <v>15</v>
      </c>
      <c r="G58" s="67">
        <v>44983</v>
      </c>
      <c r="H58" s="64">
        <v>313</v>
      </c>
      <c r="I58" s="64">
        <v>145.51</v>
      </c>
      <c r="J58" s="64">
        <v>147.19</v>
      </c>
    </row>
    <row r="59" spans="1:10">
      <c r="A59" s="64" t="s">
        <v>86</v>
      </c>
      <c r="B59" s="64" t="s">
        <v>22</v>
      </c>
      <c r="C59" s="64" t="s">
        <v>31</v>
      </c>
      <c r="D59" s="64" t="s">
        <v>27</v>
      </c>
      <c r="E59" s="64" t="s">
        <v>14</v>
      </c>
      <c r="F59" s="64" t="s">
        <v>28</v>
      </c>
      <c r="G59" s="67">
        <v>44984</v>
      </c>
      <c r="H59" s="64">
        <v>178</v>
      </c>
      <c r="I59" s="64">
        <v>182.78</v>
      </c>
      <c r="J59" s="64">
        <v>155.81</v>
      </c>
    </row>
    <row r="60" spans="1:10">
      <c r="A60" s="64" t="s">
        <v>87</v>
      </c>
      <c r="B60" s="64" t="s">
        <v>11</v>
      </c>
      <c r="C60" s="64" t="s">
        <v>31</v>
      </c>
      <c r="D60" s="64" t="s">
        <v>27</v>
      </c>
      <c r="E60" s="64" t="s">
        <v>14</v>
      </c>
      <c r="F60" s="64" t="s">
        <v>15</v>
      </c>
      <c r="G60" s="67">
        <v>44985</v>
      </c>
      <c r="H60" s="64">
        <v>278</v>
      </c>
      <c r="I60" s="64">
        <v>195</v>
      </c>
      <c r="J60" s="64">
        <v>226.65</v>
      </c>
    </row>
    <row r="61" spans="1:10">
      <c r="A61" s="64" t="s">
        <v>88</v>
      </c>
      <c r="B61" s="64" t="s">
        <v>22</v>
      </c>
      <c r="C61" s="64" t="s">
        <v>50</v>
      </c>
      <c r="D61" s="64" t="s">
        <v>19</v>
      </c>
      <c r="E61" s="64" t="s">
        <v>14</v>
      </c>
      <c r="F61" s="64" t="s">
        <v>28</v>
      </c>
      <c r="G61" s="67">
        <v>44986</v>
      </c>
      <c r="H61" s="64">
        <v>372</v>
      </c>
      <c r="I61" s="64">
        <v>235.58</v>
      </c>
      <c r="J61" s="64">
        <v>78.33</v>
      </c>
    </row>
    <row r="62" spans="1:10">
      <c r="A62" s="64" t="s">
        <v>89</v>
      </c>
      <c r="B62" s="64" t="s">
        <v>11</v>
      </c>
      <c r="C62" s="64" t="s">
        <v>31</v>
      </c>
      <c r="D62" s="64" t="s">
        <v>27</v>
      </c>
      <c r="E62" s="64" t="s">
        <v>24</v>
      </c>
      <c r="F62" s="64" t="s">
        <v>28</v>
      </c>
      <c r="G62" s="67">
        <v>44987</v>
      </c>
      <c r="H62" s="64">
        <v>54</v>
      </c>
      <c r="I62" s="64">
        <v>418.82</v>
      </c>
      <c r="J62" s="64">
        <v>86.28</v>
      </c>
    </row>
    <row r="63" spans="1:10">
      <c r="A63" s="64" t="s">
        <v>90</v>
      </c>
      <c r="B63" s="64" t="s">
        <v>11</v>
      </c>
      <c r="C63" s="64" t="s">
        <v>31</v>
      </c>
      <c r="D63" s="64" t="s">
        <v>19</v>
      </c>
      <c r="E63" s="64" t="s">
        <v>24</v>
      </c>
      <c r="F63" s="64" t="s">
        <v>15</v>
      </c>
      <c r="G63" s="67">
        <v>44988</v>
      </c>
      <c r="H63" s="64">
        <v>354</v>
      </c>
      <c r="I63" s="64">
        <v>121.72</v>
      </c>
      <c r="J63" s="64">
        <v>194.87</v>
      </c>
    </row>
    <row r="64" spans="1:10">
      <c r="A64" s="64" t="s">
        <v>91</v>
      </c>
      <c r="B64" s="64" t="s">
        <v>22</v>
      </c>
      <c r="C64" s="64" t="s">
        <v>31</v>
      </c>
      <c r="D64" s="64" t="s">
        <v>19</v>
      </c>
      <c r="E64" s="64" t="s">
        <v>14</v>
      </c>
      <c r="F64" s="64" t="s">
        <v>15</v>
      </c>
      <c r="G64" s="67">
        <v>44989</v>
      </c>
      <c r="H64" s="64">
        <v>190</v>
      </c>
      <c r="I64" s="64">
        <v>389.12</v>
      </c>
      <c r="J64" s="64">
        <v>302.19</v>
      </c>
    </row>
    <row r="65" spans="1:10">
      <c r="A65" s="64" t="s">
        <v>92</v>
      </c>
      <c r="C65" s="64" t="s">
        <v>26</v>
      </c>
      <c r="D65" s="64" t="s">
        <v>13</v>
      </c>
      <c r="E65" s="64" t="s">
        <v>14</v>
      </c>
      <c r="F65" s="64" t="s">
        <v>15</v>
      </c>
      <c r="G65" s="67">
        <v>44990</v>
      </c>
      <c r="H65" s="64">
        <v>179</v>
      </c>
      <c r="I65" s="64">
        <v>205.63</v>
      </c>
      <c r="J65" s="64">
        <v>248.56</v>
      </c>
    </row>
    <row r="66" spans="1:10">
      <c r="A66" s="64" t="s">
        <v>93</v>
      </c>
      <c r="B66" s="64" t="s">
        <v>11</v>
      </c>
      <c r="C66" s="64" t="s">
        <v>50</v>
      </c>
      <c r="D66" s="64" t="s">
        <v>42</v>
      </c>
      <c r="E66" s="64" t="s">
        <v>24</v>
      </c>
      <c r="F66" s="64" t="s">
        <v>28</v>
      </c>
      <c r="G66" s="67">
        <v>44991</v>
      </c>
      <c r="H66" s="64">
        <v>365</v>
      </c>
      <c r="I66" s="64">
        <v>302.92</v>
      </c>
      <c r="J66" s="64">
        <v>120.35</v>
      </c>
    </row>
    <row r="67" spans="1:10">
      <c r="A67" s="64" t="s">
        <v>94</v>
      </c>
      <c r="B67" s="64" t="s">
        <v>48</v>
      </c>
      <c r="C67" s="64" t="s">
        <v>18</v>
      </c>
      <c r="D67" s="64" t="s">
        <v>19</v>
      </c>
      <c r="E67" s="64" t="s">
        <v>14</v>
      </c>
      <c r="F67" s="64" t="s">
        <v>28</v>
      </c>
      <c r="G67" s="67">
        <v>44992</v>
      </c>
      <c r="H67" s="64">
        <v>200</v>
      </c>
      <c r="I67" s="64">
        <v>318.11</v>
      </c>
      <c r="J67" s="64">
        <v>173.27</v>
      </c>
    </row>
    <row r="68" spans="1:10">
      <c r="A68" s="64" t="s">
        <v>95</v>
      </c>
      <c r="B68" s="64" t="s">
        <v>17</v>
      </c>
      <c r="C68" s="64" t="s">
        <v>12</v>
      </c>
      <c r="D68" s="64" t="s">
        <v>23</v>
      </c>
      <c r="E68" s="64" t="s">
        <v>24</v>
      </c>
      <c r="F68" s="64" t="s">
        <v>20</v>
      </c>
      <c r="G68" s="67">
        <v>44993</v>
      </c>
      <c r="H68" s="64">
        <v>164</v>
      </c>
      <c r="I68" s="64">
        <v>189.56</v>
      </c>
      <c r="J68" s="64">
        <v>69.92</v>
      </c>
    </row>
    <row r="69" spans="1:10">
      <c r="A69" s="64" t="s">
        <v>96</v>
      </c>
      <c r="B69" s="64" t="s">
        <v>22</v>
      </c>
      <c r="C69" s="64" t="s">
        <v>18</v>
      </c>
      <c r="D69" s="64" t="s">
        <v>42</v>
      </c>
      <c r="E69" s="64" t="s">
        <v>14</v>
      </c>
      <c r="F69" s="64" t="s">
        <v>15</v>
      </c>
      <c r="G69" s="67">
        <v>44994</v>
      </c>
      <c r="H69" s="64">
        <v>431</v>
      </c>
      <c r="I69" s="64">
        <v>258.74</v>
      </c>
      <c r="J69" s="64">
        <v>31.7</v>
      </c>
    </row>
    <row r="70" spans="1:10">
      <c r="A70" s="64" t="s">
        <v>97</v>
      </c>
      <c r="B70" s="64" t="s">
        <v>17</v>
      </c>
      <c r="C70" s="64" t="s">
        <v>50</v>
      </c>
      <c r="D70" s="64" t="s">
        <v>42</v>
      </c>
      <c r="E70" s="64" t="s">
        <v>14</v>
      </c>
      <c r="F70" s="64" t="s">
        <v>28</v>
      </c>
      <c r="G70" s="67">
        <v>44995</v>
      </c>
      <c r="H70" s="64">
        <v>197</v>
      </c>
      <c r="I70" s="64">
        <v>209.45</v>
      </c>
      <c r="J70" s="64">
        <v>313.51</v>
      </c>
    </row>
    <row r="71" spans="1:10">
      <c r="A71" s="64" t="s">
        <v>98</v>
      </c>
      <c r="B71" s="64" t="s">
        <v>48</v>
      </c>
      <c r="C71" s="64" t="s">
        <v>12</v>
      </c>
      <c r="D71" s="64" t="s">
        <v>42</v>
      </c>
      <c r="E71" s="64" t="s">
        <v>14</v>
      </c>
      <c r="F71" s="64" t="s">
        <v>28</v>
      </c>
      <c r="G71" s="67">
        <v>44996</v>
      </c>
      <c r="H71" s="64">
        <v>16</v>
      </c>
      <c r="I71" s="64">
        <v>39.22</v>
      </c>
      <c r="J71" s="64">
        <v>107.62</v>
      </c>
    </row>
    <row r="72" spans="1:10">
      <c r="A72" s="64" t="s">
        <v>99</v>
      </c>
      <c r="B72" s="64" t="s">
        <v>48</v>
      </c>
      <c r="C72" s="64" t="s">
        <v>50</v>
      </c>
      <c r="D72" s="64" t="s">
        <v>13</v>
      </c>
      <c r="E72" s="64" t="s">
        <v>14</v>
      </c>
      <c r="F72" s="64" t="s">
        <v>15</v>
      </c>
      <c r="G72" s="67">
        <v>44997</v>
      </c>
      <c r="H72" s="64">
        <v>142</v>
      </c>
      <c r="I72" s="64">
        <v>221.4</v>
      </c>
      <c r="J72" s="64">
        <v>72.75</v>
      </c>
    </row>
    <row r="73" spans="1:10">
      <c r="A73" s="64" t="s">
        <v>100</v>
      </c>
      <c r="B73" s="64" t="s">
        <v>48</v>
      </c>
      <c r="C73" s="64" t="s">
        <v>31</v>
      </c>
      <c r="D73" s="64" t="s">
        <v>19</v>
      </c>
      <c r="E73" s="64" t="s">
        <v>14</v>
      </c>
      <c r="F73" s="64" t="s">
        <v>20</v>
      </c>
      <c r="G73" s="67">
        <v>44998</v>
      </c>
      <c r="H73" s="64">
        <v>244</v>
      </c>
      <c r="I73" s="64">
        <v>53.21</v>
      </c>
      <c r="J73" s="64">
        <v>277.26</v>
      </c>
    </row>
    <row r="74" spans="1:10">
      <c r="A74" s="64" t="s">
        <v>101</v>
      </c>
      <c r="B74" s="64" t="s">
        <v>22</v>
      </c>
      <c r="C74" s="64" t="s">
        <v>12</v>
      </c>
      <c r="D74" s="64" t="s">
        <v>13</v>
      </c>
      <c r="E74" s="64" t="s">
        <v>14</v>
      </c>
      <c r="F74" s="64" t="s">
        <v>15</v>
      </c>
      <c r="G74" s="67">
        <v>44999</v>
      </c>
      <c r="H74" s="64">
        <v>54</v>
      </c>
      <c r="I74" s="64">
        <v>205.49</v>
      </c>
      <c r="J74" s="64">
        <v>247.98</v>
      </c>
    </row>
    <row r="75" spans="1:10">
      <c r="A75" s="64" t="s">
        <v>102</v>
      </c>
      <c r="B75" s="64" t="s">
        <v>48</v>
      </c>
      <c r="C75" s="64" t="s">
        <v>31</v>
      </c>
      <c r="D75" s="64" t="s">
        <v>19</v>
      </c>
      <c r="E75" s="64" t="s">
        <v>14</v>
      </c>
      <c r="F75" s="64" t="s">
        <v>20</v>
      </c>
      <c r="G75" s="67">
        <v>45000</v>
      </c>
      <c r="H75" s="64">
        <v>323</v>
      </c>
      <c r="I75" s="64">
        <v>298.49</v>
      </c>
      <c r="J75" s="64">
        <v>254.01</v>
      </c>
    </row>
    <row r="76" spans="1:10">
      <c r="A76" s="64" t="s">
        <v>103</v>
      </c>
      <c r="B76" s="64" t="s">
        <v>22</v>
      </c>
      <c r="C76" s="64" t="s">
        <v>18</v>
      </c>
      <c r="D76" s="64" t="s">
        <v>13</v>
      </c>
      <c r="E76" s="64" t="s">
        <v>24</v>
      </c>
      <c r="F76" s="64" t="s">
        <v>28</v>
      </c>
      <c r="G76" s="67">
        <v>45001</v>
      </c>
      <c r="H76" s="64">
        <v>258</v>
      </c>
      <c r="I76" s="64">
        <v>291.81</v>
      </c>
      <c r="J76" s="64">
        <v>93.1</v>
      </c>
    </row>
    <row r="77" spans="1:10">
      <c r="A77" s="64" t="s">
        <v>104</v>
      </c>
      <c r="B77" s="64" t="s">
        <v>48</v>
      </c>
      <c r="C77" s="64" t="s">
        <v>18</v>
      </c>
      <c r="D77" s="64" t="s">
        <v>13</v>
      </c>
      <c r="E77" s="64" t="s">
        <v>24</v>
      </c>
      <c r="F77" s="64" t="s">
        <v>20</v>
      </c>
      <c r="G77" s="67">
        <v>45002</v>
      </c>
      <c r="H77" s="64">
        <v>40</v>
      </c>
      <c r="I77" s="64">
        <v>333</v>
      </c>
      <c r="J77" s="64">
        <v>94.59</v>
      </c>
    </row>
    <row r="78" spans="1:10">
      <c r="A78" s="64" t="s">
        <v>105</v>
      </c>
      <c r="B78" s="64" t="s">
        <v>17</v>
      </c>
      <c r="C78" s="64" t="s">
        <v>12</v>
      </c>
      <c r="D78" s="64" t="s">
        <v>23</v>
      </c>
      <c r="E78" s="64" t="s">
        <v>24</v>
      </c>
      <c r="F78" s="64" t="s">
        <v>28</v>
      </c>
      <c r="G78" s="67">
        <v>45003</v>
      </c>
      <c r="H78" s="64">
        <v>32</v>
      </c>
      <c r="I78" s="64">
        <v>52.15</v>
      </c>
      <c r="J78" s="64">
        <v>89.88</v>
      </c>
    </row>
    <row r="79" spans="1:10">
      <c r="A79" s="64" t="s">
        <v>106</v>
      </c>
      <c r="B79" s="64" t="s">
        <v>17</v>
      </c>
      <c r="C79" s="64" t="s">
        <v>12</v>
      </c>
      <c r="D79" s="64" t="s">
        <v>13</v>
      </c>
      <c r="E79" s="64" t="s">
        <v>24</v>
      </c>
      <c r="F79" s="64" t="s">
        <v>15</v>
      </c>
      <c r="G79" s="67">
        <v>45004</v>
      </c>
      <c r="H79" s="64">
        <v>435</v>
      </c>
      <c r="I79" s="64">
        <v>327.8</v>
      </c>
      <c r="J79" s="64">
        <v>71.150000000000006</v>
      </c>
    </row>
    <row r="80" spans="1:10">
      <c r="A80" s="64" t="s">
        <v>107</v>
      </c>
      <c r="B80" s="64" t="s">
        <v>11</v>
      </c>
      <c r="C80" s="64" t="s">
        <v>50</v>
      </c>
      <c r="D80" s="64" t="s">
        <v>27</v>
      </c>
      <c r="E80" s="64" t="s">
        <v>24</v>
      </c>
      <c r="F80" s="64" t="s">
        <v>15</v>
      </c>
      <c r="G80" s="67">
        <v>45005</v>
      </c>
      <c r="H80" s="64">
        <v>403</v>
      </c>
      <c r="I80" s="64">
        <v>159.51</v>
      </c>
      <c r="J80" s="64">
        <v>262.98</v>
      </c>
    </row>
    <row r="81" spans="1:10">
      <c r="A81" s="64" t="s">
        <v>108</v>
      </c>
      <c r="B81" s="64" t="s">
        <v>17</v>
      </c>
      <c r="C81" s="64" t="s">
        <v>50</v>
      </c>
      <c r="D81" s="64" t="s">
        <v>23</v>
      </c>
      <c r="E81" s="64" t="s">
        <v>14</v>
      </c>
      <c r="F81" s="64" t="s">
        <v>15</v>
      </c>
      <c r="G81" s="67">
        <v>45006</v>
      </c>
      <c r="H81" s="64">
        <v>169</v>
      </c>
      <c r="J81" s="64">
        <v>339.51</v>
      </c>
    </row>
    <row r="82" spans="1:10">
      <c r="A82" s="64" t="s">
        <v>109</v>
      </c>
      <c r="B82" s="64" t="s">
        <v>11</v>
      </c>
      <c r="C82" s="64" t="s">
        <v>31</v>
      </c>
      <c r="D82" s="64" t="s">
        <v>13</v>
      </c>
      <c r="E82" s="64" t="s">
        <v>14</v>
      </c>
      <c r="F82" s="64" t="s">
        <v>20</v>
      </c>
      <c r="G82" s="67">
        <v>45007</v>
      </c>
      <c r="H82" s="64">
        <v>372</v>
      </c>
      <c r="I82" s="64">
        <v>429.7</v>
      </c>
      <c r="J82" s="64">
        <v>290.27999999999997</v>
      </c>
    </row>
    <row r="83" spans="1:10">
      <c r="A83" s="64" t="s">
        <v>110</v>
      </c>
      <c r="B83" s="64" t="s">
        <v>17</v>
      </c>
      <c r="C83" s="64" t="s">
        <v>12</v>
      </c>
      <c r="D83" s="64" t="s">
        <v>42</v>
      </c>
      <c r="E83" s="64" t="s">
        <v>24</v>
      </c>
      <c r="F83" s="64" t="s">
        <v>28</v>
      </c>
      <c r="G83" s="67">
        <v>45008</v>
      </c>
      <c r="H83" s="64">
        <v>446</v>
      </c>
      <c r="I83" s="64">
        <v>9.4700000000000006</v>
      </c>
      <c r="J83" s="64">
        <v>317.25</v>
      </c>
    </row>
    <row r="84" spans="1:10">
      <c r="A84" s="64" t="s">
        <v>111</v>
      </c>
      <c r="B84" s="64" t="s">
        <v>22</v>
      </c>
      <c r="C84" s="64" t="s">
        <v>18</v>
      </c>
      <c r="D84" s="64" t="s">
        <v>27</v>
      </c>
      <c r="E84" s="64" t="s">
        <v>14</v>
      </c>
      <c r="F84" s="64" t="s">
        <v>15</v>
      </c>
      <c r="G84" s="67">
        <v>45009</v>
      </c>
      <c r="H84" s="64">
        <v>167</v>
      </c>
      <c r="I84" s="64">
        <v>296.26</v>
      </c>
      <c r="J84" s="64">
        <v>163.11000000000001</v>
      </c>
    </row>
    <row r="85" spans="1:10">
      <c r="A85" s="64" t="s">
        <v>112</v>
      </c>
      <c r="B85" s="64" t="s">
        <v>17</v>
      </c>
      <c r="C85" s="64" t="s">
        <v>50</v>
      </c>
      <c r="D85" s="64" t="s">
        <v>27</v>
      </c>
      <c r="E85" s="64" t="s">
        <v>24</v>
      </c>
      <c r="F85" s="64" t="s">
        <v>15</v>
      </c>
      <c r="G85" s="67">
        <v>45010</v>
      </c>
      <c r="H85" s="64">
        <v>48</v>
      </c>
      <c r="I85" s="64">
        <v>301.36</v>
      </c>
      <c r="J85" s="64">
        <v>262.32</v>
      </c>
    </row>
    <row r="86" spans="1:10">
      <c r="A86" s="64" t="s">
        <v>113</v>
      </c>
      <c r="B86" s="64" t="s">
        <v>11</v>
      </c>
      <c r="C86" s="64" t="s">
        <v>50</v>
      </c>
      <c r="D86" s="64" t="s">
        <v>27</v>
      </c>
      <c r="E86" s="64" t="s">
        <v>24</v>
      </c>
      <c r="F86" s="64" t="s">
        <v>28</v>
      </c>
      <c r="G86" s="67">
        <v>45011</v>
      </c>
      <c r="H86" s="64">
        <v>424</v>
      </c>
      <c r="I86" s="64">
        <v>201.35</v>
      </c>
      <c r="J86" s="64">
        <v>142.99</v>
      </c>
    </row>
    <row r="87" spans="1:10">
      <c r="A87" s="64" t="s">
        <v>114</v>
      </c>
      <c r="B87" s="64" t="s">
        <v>11</v>
      </c>
      <c r="C87" s="64" t="s">
        <v>18</v>
      </c>
      <c r="D87" s="64" t="s">
        <v>23</v>
      </c>
      <c r="E87" s="64" t="s">
        <v>14</v>
      </c>
      <c r="F87" s="64" t="s">
        <v>15</v>
      </c>
      <c r="G87" s="67">
        <v>45012</v>
      </c>
      <c r="H87" s="64">
        <v>91</v>
      </c>
      <c r="I87" s="64">
        <v>122.33</v>
      </c>
      <c r="J87" s="64">
        <v>211.15</v>
      </c>
    </row>
    <row r="88" spans="1:10">
      <c r="A88" s="64" t="s">
        <v>115</v>
      </c>
      <c r="B88" s="64" t="s">
        <v>48</v>
      </c>
      <c r="C88" s="64" t="s">
        <v>50</v>
      </c>
      <c r="D88" s="64" t="s">
        <v>13</v>
      </c>
      <c r="E88" s="64" t="s">
        <v>14</v>
      </c>
      <c r="F88" s="64" t="s">
        <v>28</v>
      </c>
      <c r="G88" s="67">
        <v>45013</v>
      </c>
      <c r="H88" s="64">
        <v>365</v>
      </c>
      <c r="I88" s="64">
        <v>121.16</v>
      </c>
      <c r="J88" s="64">
        <v>193.69</v>
      </c>
    </row>
    <row r="89" spans="1:10">
      <c r="A89" s="64" t="s">
        <v>116</v>
      </c>
      <c r="B89" s="64" t="s">
        <v>22</v>
      </c>
      <c r="C89" s="64" t="s">
        <v>31</v>
      </c>
      <c r="D89" s="64" t="s">
        <v>13</v>
      </c>
      <c r="E89" s="64" t="s">
        <v>14</v>
      </c>
      <c r="F89" s="64" t="s">
        <v>28</v>
      </c>
      <c r="G89" s="67">
        <v>45014</v>
      </c>
      <c r="H89" s="64">
        <v>267</v>
      </c>
      <c r="I89" s="64">
        <v>442.44</v>
      </c>
      <c r="J89" s="64">
        <v>72.400000000000006</v>
      </c>
    </row>
    <row r="90" spans="1:10">
      <c r="A90" s="64" t="s">
        <v>117</v>
      </c>
      <c r="B90" s="64" t="s">
        <v>17</v>
      </c>
      <c r="C90" s="64" t="s">
        <v>12</v>
      </c>
      <c r="D90" s="64" t="s">
        <v>42</v>
      </c>
      <c r="E90" s="64" t="s">
        <v>24</v>
      </c>
      <c r="F90" s="64" t="s">
        <v>28</v>
      </c>
      <c r="G90" s="67">
        <v>45015</v>
      </c>
      <c r="H90" s="64">
        <v>215</v>
      </c>
      <c r="I90" s="64">
        <v>223.8</v>
      </c>
      <c r="J90" s="64">
        <v>156.06</v>
      </c>
    </row>
    <row r="91" spans="1:10">
      <c r="A91" s="64" t="s">
        <v>118</v>
      </c>
      <c r="B91" s="64" t="s">
        <v>48</v>
      </c>
      <c r="C91" s="64" t="s">
        <v>18</v>
      </c>
      <c r="D91" s="64" t="s">
        <v>42</v>
      </c>
      <c r="E91" s="64" t="s">
        <v>14</v>
      </c>
      <c r="F91" s="64" t="s">
        <v>28</v>
      </c>
      <c r="G91" s="67">
        <v>45016</v>
      </c>
      <c r="H91" s="64">
        <v>86</v>
      </c>
      <c r="I91" s="64">
        <v>168.79</v>
      </c>
      <c r="J91" s="64">
        <v>385.6</v>
      </c>
    </row>
    <row r="92" spans="1:10">
      <c r="A92" s="64" t="s">
        <v>119</v>
      </c>
      <c r="B92" s="64" t="s">
        <v>17</v>
      </c>
      <c r="C92" s="64" t="s">
        <v>12</v>
      </c>
      <c r="D92" s="64" t="s">
        <v>27</v>
      </c>
      <c r="E92" s="64" t="s">
        <v>24</v>
      </c>
      <c r="F92" s="64" t="s">
        <v>28</v>
      </c>
      <c r="G92" s="67">
        <v>45017</v>
      </c>
      <c r="H92" s="64">
        <v>486</v>
      </c>
      <c r="I92" s="64">
        <v>227.14</v>
      </c>
      <c r="J92" s="64">
        <v>100.93</v>
      </c>
    </row>
    <row r="93" spans="1:10">
      <c r="A93" s="64" t="s">
        <v>120</v>
      </c>
      <c r="B93" s="64" t="s">
        <v>17</v>
      </c>
      <c r="C93" s="64" t="s">
        <v>50</v>
      </c>
      <c r="D93" s="64" t="s">
        <v>42</v>
      </c>
      <c r="E93" s="64" t="s">
        <v>24</v>
      </c>
      <c r="F93" s="64" t="s">
        <v>20</v>
      </c>
      <c r="G93" s="67">
        <v>45018</v>
      </c>
      <c r="H93" s="64">
        <v>21</v>
      </c>
      <c r="J93" s="64">
        <v>55.25</v>
      </c>
    </row>
    <row r="94" spans="1:10">
      <c r="A94" s="64" t="s">
        <v>121</v>
      </c>
      <c r="B94" s="64" t="s">
        <v>48</v>
      </c>
      <c r="C94" s="64" t="s">
        <v>50</v>
      </c>
      <c r="D94" s="64" t="s">
        <v>23</v>
      </c>
      <c r="E94" s="64" t="s">
        <v>24</v>
      </c>
      <c r="F94" s="64" t="s">
        <v>15</v>
      </c>
      <c r="G94" s="67">
        <v>45019</v>
      </c>
      <c r="H94" s="64">
        <v>304</v>
      </c>
      <c r="I94" s="64">
        <v>77.150000000000006</v>
      </c>
      <c r="J94" s="64">
        <v>168.6</v>
      </c>
    </row>
    <row r="95" spans="1:10">
      <c r="A95" s="64" t="s">
        <v>122</v>
      </c>
      <c r="B95" s="64" t="s">
        <v>48</v>
      </c>
      <c r="C95" s="64" t="s">
        <v>18</v>
      </c>
      <c r="D95" s="64" t="s">
        <v>13</v>
      </c>
      <c r="E95" s="64" t="s">
        <v>14</v>
      </c>
      <c r="F95" s="64" t="s">
        <v>20</v>
      </c>
      <c r="G95" s="67">
        <v>45020</v>
      </c>
      <c r="H95" s="64">
        <v>459</v>
      </c>
      <c r="I95" s="64">
        <v>227.47</v>
      </c>
      <c r="J95" s="64">
        <v>316.55</v>
      </c>
    </row>
    <row r="96" spans="1:10">
      <c r="A96" s="64" t="s">
        <v>123</v>
      </c>
      <c r="B96" s="64" t="s">
        <v>48</v>
      </c>
      <c r="C96" s="64" t="s">
        <v>31</v>
      </c>
      <c r="D96" s="64" t="s">
        <v>27</v>
      </c>
      <c r="E96" s="64" t="s">
        <v>14</v>
      </c>
      <c r="F96" s="64" t="s">
        <v>15</v>
      </c>
      <c r="G96" s="67">
        <v>45021</v>
      </c>
      <c r="H96" s="64">
        <v>233</v>
      </c>
      <c r="I96" s="64">
        <v>296</v>
      </c>
      <c r="J96" s="64">
        <v>233.69</v>
      </c>
    </row>
    <row r="97" spans="1:10">
      <c r="A97" s="64" t="s">
        <v>124</v>
      </c>
      <c r="B97" s="64" t="s">
        <v>48</v>
      </c>
      <c r="C97" s="64" t="s">
        <v>26</v>
      </c>
      <c r="D97" s="64" t="s">
        <v>42</v>
      </c>
      <c r="E97" s="64" t="s">
        <v>24</v>
      </c>
      <c r="F97" s="64" t="s">
        <v>20</v>
      </c>
      <c r="G97" s="67">
        <v>45022</v>
      </c>
      <c r="H97" s="64">
        <v>22</v>
      </c>
      <c r="I97" s="64">
        <v>474.55</v>
      </c>
      <c r="J97" s="64">
        <v>273.02999999999997</v>
      </c>
    </row>
    <row r="98" spans="1:10">
      <c r="A98" s="64" t="s">
        <v>125</v>
      </c>
      <c r="B98" s="64" t="s">
        <v>48</v>
      </c>
      <c r="C98" s="64" t="s">
        <v>18</v>
      </c>
      <c r="D98" s="64" t="s">
        <v>23</v>
      </c>
      <c r="E98" s="64" t="s">
        <v>14</v>
      </c>
      <c r="F98" s="64" t="s">
        <v>28</v>
      </c>
      <c r="G98" s="67">
        <v>45023</v>
      </c>
      <c r="H98" s="64">
        <v>55</v>
      </c>
      <c r="I98" s="64">
        <v>130</v>
      </c>
      <c r="J98" s="64">
        <v>77.5</v>
      </c>
    </row>
    <row r="99" spans="1:10">
      <c r="A99" s="64" t="s">
        <v>126</v>
      </c>
      <c r="B99" s="64" t="s">
        <v>17</v>
      </c>
      <c r="C99" s="64" t="s">
        <v>26</v>
      </c>
      <c r="D99" s="64" t="s">
        <v>23</v>
      </c>
      <c r="E99" s="64" t="s">
        <v>14</v>
      </c>
      <c r="F99" s="64" t="s">
        <v>15</v>
      </c>
      <c r="G99" s="67">
        <v>45024</v>
      </c>
      <c r="H99" s="64">
        <v>164</v>
      </c>
      <c r="I99" s="64">
        <v>182.83</v>
      </c>
      <c r="J99" s="64">
        <v>248.34</v>
      </c>
    </row>
    <row r="100" spans="1:10">
      <c r="A100" s="64" t="s">
        <v>127</v>
      </c>
      <c r="B100" s="64" t="s">
        <v>48</v>
      </c>
      <c r="C100" s="64" t="s">
        <v>26</v>
      </c>
      <c r="D100" s="64" t="s">
        <v>42</v>
      </c>
      <c r="E100" s="64" t="s">
        <v>14</v>
      </c>
      <c r="F100" s="64" t="s">
        <v>15</v>
      </c>
      <c r="G100" s="67">
        <v>45025</v>
      </c>
      <c r="H100" s="64">
        <v>122</v>
      </c>
      <c r="I100" s="64">
        <v>192.78</v>
      </c>
      <c r="J100" s="64">
        <v>130.75</v>
      </c>
    </row>
    <row r="101" spans="1:10">
      <c r="A101" s="64" t="s">
        <v>128</v>
      </c>
      <c r="B101" s="64" t="s">
        <v>22</v>
      </c>
      <c r="C101" s="64" t="s">
        <v>31</v>
      </c>
      <c r="D101" s="64" t="s">
        <v>13</v>
      </c>
      <c r="E101" s="64" t="s">
        <v>24</v>
      </c>
      <c r="F101" s="64" t="s">
        <v>20</v>
      </c>
      <c r="G101" s="67">
        <v>45026</v>
      </c>
      <c r="H101" s="64">
        <v>242</v>
      </c>
      <c r="I101" s="64">
        <v>304.74</v>
      </c>
      <c r="J101" s="64">
        <v>334.05</v>
      </c>
    </row>
    <row r="102" spans="1:10">
      <c r="A102" s="64" t="s">
        <v>129</v>
      </c>
      <c r="B102" s="64" t="s">
        <v>11</v>
      </c>
      <c r="C102" s="64" t="s">
        <v>26</v>
      </c>
      <c r="D102" s="64" t="s">
        <v>42</v>
      </c>
      <c r="E102" s="64" t="s">
        <v>24</v>
      </c>
      <c r="F102" s="64" t="s">
        <v>20</v>
      </c>
      <c r="G102" s="67">
        <v>45027</v>
      </c>
      <c r="H102" s="64">
        <v>26</v>
      </c>
      <c r="I102" s="64">
        <v>181.58</v>
      </c>
      <c r="J102" s="64">
        <v>252.46</v>
      </c>
    </row>
    <row r="103" spans="1:10">
      <c r="A103" s="64" t="s">
        <v>130</v>
      </c>
      <c r="B103" s="64" t="s">
        <v>48</v>
      </c>
      <c r="C103" s="64" t="s">
        <v>26</v>
      </c>
      <c r="D103" s="64" t="s">
        <v>27</v>
      </c>
      <c r="E103" s="64" t="s">
        <v>14</v>
      </c>
      <c r="F103" s="64" t="s">
        <v>15</v>
      </c>
      <c r="G103" s="67">
        <v>45028</v>
      </c>
      <c r="H103" s="64">
        <v>369</v>
      </c>
      <c r="I103" s="64">
        <v>269.08999999999997</v>
      </c>
      <c r="J103" s="64">
        <v>81.14</v>
      </c>
    </row>
    <row r="104" spans="1:10">
      <c r="A104" s="64" t="s">
        <v>131</v>
      </c>
      <c r="B104" s="64" t="s">
        <v>48</v>
      </c>
      <c r="C104" s="64" t="s">
        <v>31</v>
      </c>
      <c r="D104" s="64" t="s">
        <v>42</v>
      </c>
      <c r="E104" s="64" t="s">
        <v>24</v>
      </c>
      <c r="F104" s="64" t="s">
        <v>20</v>
      </c>
      <c r="G104" s="67">
        <v>45029</v>
      </c>
      <c r="H104" s="64">
        <v>232</v>
      </c>
      <c r="I104" s="64">
        <v>391.99</v>
      </c>
      <c r="J104" s="64">
        <v>27.72</v>
      </c>
    </row>
    <row r="105" spans="1:10">
      <c r="A105" s="64" t="s">
        <v>132</v>
      </c>
      <c r="B105" s="64" t="s">
        <v>17</v>
      </c>
      <c r="C105" s="64" t="s">
        <v>26</v>
      </c>
      <c r="D105" s="64" t="s">
        <v>23</v>
      </c>
      <c r="E105" s="64" t="s">
        <v>14</v>
      </c>
      <c r="F105" s="64" t="s">
        <v>20</v>
      </c>
      <c r="G105" s="67">
        <v>45030</v>
      </c>
      <c r="H105" s="64">
        <v>363</v>
      </c>
      <c r="I105" s="64">
        <v>354.17</v>
      </c>
      <c r="J105" s="64">
        <v>18.97</v>
      </c>
    </row>
    <row r="106" spans="1:10">
      <c r="A106" s="64" t="s">
        <v>133</v>
      </c>
      <c r="B106" s="64" t="s">
        <v>48</v>
      </c>
      <c r="C106" s="64" t="s">
        <v>26</v>
      </c>
      <c r="D106" s="64" t="s">
        <v>42</v>
      </c>
      <c r="E106" s="64" t="s">
        <v>14</v>
      </c>
      <c r="F106" s="64" t="s">
        <v>20</v>
      </c>
      <c r="G106" s="67">
        <v>45031</v>
      </c>
      <c r="H106" s="64">
        <v>197</v>
      </c>
      <c r="I106" s="64">
        <v>225.95</v>
      </c>
      <c r="J106" s="64">
        <v>149.82</v>
      </c>
    </row>
    <row r="107" spans="1:10">
      <c r="A107" s="64" t="s">
        <v>134</v>
      </c>
      <c r="B107" s="64" t="s">
        <v>48</v>
      </c>
      <c r="C107" s="64" t="s">
        <v>26</v>
      </c>
      <c r="D107" s="64" t="s">
        <v>13</v>
      </c>
      <c r="E107" s="64" t="s">
        <v>14</v>
      </c>
      <c r="F107" s="64" t="s">
        <v>28</v>
      </c>
      <c r="G107" s="67">
        <v>45032</v>
      </c>
      <c r="H107" s="64">
        <v>457</v>
      </c>
      <c r="I107" s="64">
        <v>432.79</v>
      </c>
      <c r="J107" s="64">
        <v>107.81</v>
      </c>
    </row>
    <row r="108" spans="1:10">
      <c r="A108" s="64" t="s">
        <v>135</v>
      </c>
      <c r="B108" s="64" t="s">
        <v>48</v>
      </c>
      <c r="C108" s="64" t="s">
        <v>18</v>
      </c>
      <c r="D108" s="64" t="s">
        <v>19</v>
      </c>
      <c r="E108" s="64" t="s">
        <v>14</v>
      </c>
      <c r="F108" s="64" t="s">
        <v>28</v>
      </c>
      <c r="G108" s="67">
        <v>45033</v>
      </c>
      <c r="H108" s="64">
        <v>353</v>
      </c>
      <c r="I108" s="64">
        <v>281.27999999999997</v>
      </c>
      <c r="J108" s="64">
        <v>259.14</v>
      </c>
    </row>
    <row r="109" spans="1:10">
      <c r="A109" s="64" t="s">
        <v>136</v>
      </c>
      <c r="B109" s="64" t="s">
        <v>17</v>
      </c>
      <c r="C109" s="64" t="s">
        <v>18</v>
      </c>
      <c r="D109" s="64" t="s">
        <v>42</v>
      </c>
      <c r="E109" s="64" t="s">
        <v>24</v>
      </c>
      <c r="F109" s="64" t="s">
        <v>20</v>
      </c>
      <c r="G109" s="67">
        <v>45034</v>
      </c>
      <c r="H109" s="64">
        <v>374</v>
      </c>
      <c r="I109" s="64">
        <v>272.25</v>
      </c>
      <c r="J109" s="64">
        <v>200.73</v>
      </c>
    </row>
    <row r="110" spans="1:10">
      <c r="A110" s="64" t="s">
        <v>137</v>
      </c>
      <c r="B110" s="64" t="s">
        <v>48</v>
      </c>
      <c r="C110" s="64" t="s">
        <v>18</v>
      </c>
      <c r="D110" s="64" t="s">
        <v>13</v>
      </c>
      <c r="E110" s="64" t="s">
        <v>24</v>
      </c>
      <c r="F110" s="64" t="s">
        <v>20</v>
      </c>
      <c r="G110" s="67">
        <v>45035</v>
      </c>
      <c r="H110" s="64">
        <v>172</v>
      </c>
      <c r="I110" s="64">
        <v>21.92</v>
      </c>
      <c r="J110" s="64">
        <v>107.88</v>
      </c>
    </row>
    <row r="111" spans="1:10">
      <c r="A111" s="64" t="s">
        <v>138</v>
      </c>
      <c r="B111" s="64" t="s">
        <v>11</v>
      </c>
      <c r="C111" s="64" t="s">
        <v>31</v>
      </c>
      <c r="D111" s="64" t="s">
        <v>13</v>
      </c>
      <c r="E111" s="64" t="s">
        <v>24</v>
      </c>
      <c r="F111" s="64" t="s">
        <v>28</v>
      </c>
      <c r="G111" s="67">
        <v>45036</v>
      </c>
      <c r="H111" s="64">
        <v>335</v>
      </c>
      <c r="I111" s="64">
        <v>493.41</v>
      </c>
      <c r="J111" s="64">
        <v>61.4</v>
      </c>
    </row>
    <row r="112" spans="1:10">
      <c r="A112" s="64" t="s">
        <v>139</v>
      </c>
      <c r="B112" s="64" t="s">
        <v>17</v>
      </c>
      <c r="C112" s="64" t="s">
        <v>50</v>
      </c>
      <c r="D112" s="64" t="s">
        <v>23</v>
      </c>
      <c r="E112" s="64" t="s">
        <v>14</v>
      </c>
      <c r="F112" s="64" t="s">
        <v>28</v>
      </c>
      <c r="G112" s="67">
        <v>45037</v>
      </c>
      <c r="H112" s="64">
        <v>476</v>
      </c>
      <c r="I112" s="64">
        <v>65.87</v>
      </c>
      <c r="J112" s="64">
        <v>52.63</v>
      </c>
    </row>
    <row r="113" spans="1:10">
      <c r="A113" s="64" t="s">
        <v>140</v>
      </c>
      <c r="B113" s="64" t="s">
        <v>11</v>
      </c>
      <c r="C113" s="64" t="s">
        <v>26</v>
      </c>
      <c r="D113" s="64" t="s">
        <v>13</v>
      </c>
      <c r="E113" s="64" t="s">
        <v>14</v>
      </c>
      <c r="F113" s="64" t="s">
        <v>15</v>
      </c>
      <c r="G113" s="67">
        <v>45038</v>
      </c>
      <c r="H113" s="64">
        <v>423</v>
      </c>
      <c r="I113" s="64">
        <v>119.41</v>
      </c>
      <c r="J113" s="64">
        <v>346.13</v>
      </c>
    </row>
    <row r="114" spans="1:10">
      <c r="A114" s="64" t="s">
        <v>141</v>
      </c>
      <c r="B114" s="64" t="s">
        <v>17</v>
      </c>
      <c r="C114" s="64" t="s">
        <v>26</v>
      </c>
      <c r="D114" s="64" t="s">
        <v>13</v>
      </c>
      <c r="E114" s="64" t="s">
        <v>14</v>
      </c>
      <c r="F114" s="64" t="s">
        <v>15</v>
      </c>
      <c r="G114" s="67">
        <v>45039</v>
      </c>
      <c r="H114" s="64">
        <v>464</v>
      </c>
      <c r="I114" s="64">
        <v>30.59</v>
      </c>
      <c r="J114" s="64">
        <v>98.9</v>
      </c>
    </row>
    <row r="115" spans="1:10">
      <c r="A115" s="64" t="s">
        <v>142</v>
      </c>
      <c r="B115" s="64" t="s">
        <v>48</v>
      </c>
      <c r="C115" s="64" t="s">
        <v>31</v>
      </c>
      <c r="D115" s="64" t="s">
        <v>13</v>
      </c>
      <c r="E115" s="64" t="s">
        <v>24</v>
      </c>
      <c r="F115" s="64" t="s">
        <v>28</v>
      </c>
      <c r="G115" s="67">
        <v>45040</v>
      </c>
      <c r="H115" s="64">
        <v>83</v>
      </c>
      <c r="I115" s="64">
        <v>321.8</v>
      </c>
      <c r="J115" s="64">
        <v>261.38</v>
      </c>
    </row>
    <row r="116" spans="1:10">
      <c r="A116" s="64" t="s">
        <v>143</v>
      </c>
      <c r="B116" s="64" t="s">
        <v>11</v>
      </c>
      <c r="C116" s="64" t="s">
        <v>26</v>
      </c>
      <c r="D116" s="64" t="s">
        <v>13</v>
      </c>
      <c r="E116" s="64" t="s">
        <v>14</v>
      </c>
      <c r="F116" s="64" t="s">
        <v>20</v>
      </c>
      <c r="G116" s="67">
        <v>45041</v>
      </c>
      <c r="H116" s="64">
        <v>242</v>
      </c>
      <c r="I116" s="64">
        <v>116.23</v>
      </c>
      <c r="J116" s="64">
        <v>324.64999999999998</v>
      </c>
    </row>
    <row r="117" spans="1:10">
      <c r="A117" s="64" t="s">
        <v>144</v>
      </c>
      <c r="B117" s="64" t="s">
        <v>17</v>
      </c>
      <c r="C117" s="64" t="s">
        <v>18</v>
      </c>
      <c r="D117" s="64" t="s">
        <v>27</v>
      </c>
      <c r="E117" s="64" t="s">
        <v>24</v>
      </c>
      <c r="F117" s="64" t="s">
        <v>20</v>
      </c>
      <c r="G117" s="67">
        <v>45042</v>
      </c>
      <c r="H117" s="64">
        <v>233</v>
      </c>
      <c r="I117" s="64">
        <v>94.11</v>
      </c>
      <c r="J117" s="64">
        <v>246.4</v>
      </c>
    </row>
    <row r="118" spans="1:10">
      <c r="A118" s="64" t="s">
        <v>145</v>
      </c>
      <c r="B118" s="64" t="s">
        <v>22</v>
      </c>
      <c r="C118" s="64" t="s">
        <v>50</v>
      </c>
      <c r="D118" s="64" t="s">
        <v>27</v>
      </c>
      <c r="E118" s="64" t="s">
        <v>24</v>
      </c>
      <c r="F118" s="64" t="s">
        <v>20</v>
      </c>
      <c r="G118" s="67">
        <v>45043</v>
      </c>
      <c r="H118" s="64">
        <v>491</v>
      </c>
      <c r="I118" s="64">
        <v>48.84</v>
      </c>
      <c r="J118" s="64">
        <v>344.11</v>
      </c>
    </row>
    <row r="119" spans="1:10">
      <c r="A119" s="64" t="s">
        <v>146</v>
      </c>
      <c r="C119" s="64" t="s">
        <v>12</v>
      </c>
      <c r="D119" s="64" t="s">
        <v>23</v>
      </c>
      <c r="E119" s="64" t="s">
        <v>24</v>
      </c>
      <c r="F119" s="64" t="s">
        <v>20</v>
      </c>
      <c r="G119" s="67">
        <v>45044</v>
      </c>
      <c r="H119" s="64">
        <v>328</v>
      </c>
      <c r="I119" s="64">
        <v>56.14</v>
      </c>
      <c r="J119" s="64">
        <v>158.16999999999999</v>
      </c>
    </row>
    <row r="120" spans="1:10">
      <c r="A120" s="64" t="s">
        <v>147</v>
      </c>
      <c r="B120" s="64" t="s">
        <v>17</v>
      </c>
      <c r="C120" s="64" t="s">
        <v>26</v>
      </c>
      <c r="D120" s="64" t="s">
        <v>42</v>
      </c>
      <c r="E120" s="64" t="s">
        <v>24</v>
      </c>
      <c r="F120" s="64" t="s">
        <v>15</v>
      </c>
      <c r="G120" s="67">
        <v>45045</v>
      </c>
      <c r="H120" s="64">
        <v>421</v>
      </c>
      <c r="I120" s="64">
        <v>294.41000000000003</v>
      </c>
      <c r="J120" s="64">
        <v>382.58</v>
      </c>
    </row>
    <row r="121" spans="1:10">
      <c r="A121" s="64" t="s">
        <v>148</v>
      </c>
      <c r="B121" s="64" t="s">
        <v>22</v>
      </c>
      <c r="C121" s="64" t="s">
        <v>18</v>
      </c>
      <c r="D121" s="64" t="s">
        <v>13</v>
      </c>
      <c r="E121" s="64" t="s">
        <v>24</v>
      </c>
      <c r="F121" s="64" t="s">
        <v>28</v>
      </c>
      <c r="G121" s="67">
        <v>45046</v>
      </c>
      <c r="H121" s="64">
        <v>69</v>
      </c>
      <c r="I121" s="64">
        <v>345.66</v>
      </c>
      <c r="J121" s="64">
        <v>54.99</v>
      </c>
    </row>
    <row r="122" spans="1:10">
      <c r="A122" s="64" t="s">
        <v>149</v>
      </c>
      <c r="B122" s="64" t="s">
        <v>17</v>
      </c>
      <c r="C122" s="64" t="s">
        <v>12</v>
      </c>
      <c r="D122" s="64" t="s">
        <v>42</v>
      </c>
      <c r="E122" s="64" t="s">
        <v>24</v>
      </c>
      <c r="F122" s="64" t="s">
        <v>20</v>
      </c>
      <c r="G122" s="67">
        <v>45047</v>
      </c>
      <c r="H122" s="64">
        <v>344</v>
      </c>
      <c r="I122" s="64">
        <v>201.7</v>
      </c>
      <c r="J122" s="64">
        <v>42.66</v>
      </c>
    </row>
    <row r="123" spans="1:10">
      <c r="A123" s="64" t="s">
        <v>150</v>
      </c>
      <c r="C123" s="64" t="s">
        <v>50</v>
      </c>
      <c r="D123" s="64" t="s">
        <v>42</v>
      </c>
      <c r="E123" s="64" t="s">
        <v>14</v>
      </c>
      <c r="F123" s="64" t="s">
        <v>15</v>
      </c>
      <c r="G123" s="67">
        <v>45048</v>
      </c>
      <c r="H123" s="64">
        <v>231</v>
      </c>
      <c r="I123" s="64">
        <v>242.55</v>
      </c>
      <c r="J123" s="64">
        <v>264.16000000000003</v>
      </c>
    </row>
    <row r="124" spans="1:10">
      <c r="A124" s="64" t="s">
        <v>151</v>
      </c>
      <c r="B124" s="64" t="s">
        <v>48</v>
      </c>
      <c r="C124" s="64" t="s">
        <v>12</v>
      </c>
      <c r="D124" s="64" t="s">
        <v>23</v>
      </c>
      <c r="E124" s="64" t="s">
        <v>14</v>
      </c>
      <c r="F124" s="64" t="s">
        <v>20</v>
      </c>
      <c r="G124" s="67">
        <v>45049</v>
      </c>
      <c r="H124" s="64">
        <v>46</v>
      </c>
      <c r="I124" s="64">
        <v>344.55</v>
      </c>
      <c r="J124" s="64">
        <v>377.25</v>
      </c>
    </row>
    <row r="125" spans="1:10">
      <c r="A125" s="64" t="s">
        <v>152</v>
      </c>
      <c r="B125" s="64" t="s">
        <v>11</v>
      </c>
      <c r="C125" s="64" t="s">
        <v>18</v>
      </c>
      <c r="D125" s="64" t="s">
        <v>13</v>
      </c>
      <c r="E125" s="64" t="s">
        <v>24</v>
      </c>
      <c r="F125" s="64" t="s">
        <v>28</v>
      </c>
      <c r="G125" s="67">
        <v>45050</v>
      </c>
      <c r="H125" s="64">
        <v>486</v>
      </c>
      <c r="I125" s="64">
        <v>13.6</v>
      </c>
      <c r="J125" s="64">
        <v>323.94</v>
      </c>
    </row>
    <row r="126" spans="1:10">
      <c r="A126" s="64" t="s">
        <v>153</v>
      </c>
      <c r="B126" s="64" t="s">
        <v>22</v>
      </c>
      <c r="C126" s="64" t="s">
        <v>12</v>
      </c>
      <c r="D126" s="64" t="s">
        <v>13</v>
      </c>
      <c r="E126" s="64" t="s">
        <v>24</v>
      </c>
      <c r="F126" s="64" t="s">
        <v>15</v>
      </c>
      <c r="G126" s="67">
        <v>45051</v>
      </c>
      <c r="H126" s="64">
        <v>287</v>
      </c>
      <c r="I126" s="64">
        <v>164.95</v>
      </c>
      <c r="J126" s="64">
        <v>32.409999999999997</v>
      </c>
    </row>
    <row r="127" spans="1:10">
      <c r="A127" s="64" t="s">
        <v>154</v>
      </c>
      <c r="B127" s="64" t="s">
        <v>17</v>
      </c>
      <c r="C127" s="64" t="s">
        <v>31</v>
      </c>
      <c r="D127" s="64" t="s">
        <v>19</v>
      </c>
      <c r="E127" s="64" t="s">
        <v>14</v>
      </c>
      <c r="F127" s="64" t="s">
        <v>28</v>
      </c>
      <c r="G127" s="67">
        <v>45052</v>
      </c>
      <c r="H127" s="64">
        <v>205</v>
      </c>
      <c r="I127" s="64">
        <v>486.68</v>
      </c>
      <c r="J127" s="64">
        <v>113.19</v>
      </c>
    </row>
    <row r="128" spans="1:10">
      <c r="A128" s="64" t="s">
        <v>155</v>
      </c>
      <c r="B128" s="64" t="s">
        <v>48</v>
      </c>
      <c r="C128" s="64" t="s">
        <v>12</v>
      </c>
      <c r="D128" s="64" t="s">
        <v>42</v>
      </c>
      <c r="E128" s="64" t="s">
        <v>24</v>
      </c>
      <c r="F128" s="64" t="s">
        <v>28</v>
      </c>
      <c r="G128" s="67">
        <v>45053</v>
      </c>
      <c r="H128" s="64">
        <v>413</v>
      </c>
      <c r="I128" s="64">
        <v>292.16000000000003</v>
      </c>
      <c r="J128" s="64">
        <v>372.27</v>
      </c>
    </row>
    <row r="129" spans="1:10">
      <c r="A129" s="64" t="s">
        <v>156</v>
      </c>
      <c r="B129" s="64" t="s">
        <v>22</v>
      </c>
      <c r="C129" s="64" t="s">
        <v>26</v>
      </c>
      <c r="D129" s="64" t="s">
        <v>42</v>
      </c>
      <c r="E129" s="64" t="s">
        <v>24</v>
      </c>
      <c r="F129" s="64" t="s">
        <v>15</v>
      </c>
      <c r="G129" s="67">
        <v>45054</v>
      </c>
      <c r="H129" s="64">
        <v>361</v>
      </c>
      <c r="I129" s="64">
        <v>130.84</v>
      </c>
      <c r="J129" s="64">
        <v>102.72</v>
      </c>
    </row>
    <row r="130" spans="1:10">
      <c r="A130" s="64" t="s">
        <v>157</v>
      </c>
      <c r="B130" s="64" t="s">
        <v>17</v>
      </c>
      <c r="C130" s="64" t="s">
        <v>26</v>
      </c>
      <c r="D130" s="64" t="s">
        <v>27</v>
      </c>
      <c r="E130" s="64" t="s">
        <v>14</v>
      </c>
      <c r="F130" s="64" t="s">
        <v>15</v>
      </c>
      <c r="G130" s="67">
        <v>45055</v>
      </c>
      <c r="H130" s="64">
        <v>493</v>
      </c>
      <c r="I130" s="64">
        <v>263.26</v>
      </c>
      <c r="J130" s="64">
        <v>312.91000000000003</v>
      </c>
    </row>
    <row r="131" spans="1:10">
      <c r="A131" s="64" t="s">
        <v>158</v>
      </c>
      <c r="B131" s="64" t="s">
        <v>17</v>
      </c>
      <c r="C131" s="64" t="s">
        <v>31</v>
      </c>
      <c r="D131" s="64" t="s">
        <v>19</v>
      </c>
      <c r="E131" s="64" t="s">
        <v>24</v>
      </c>
      <c r="F131" s="64" t="s">
        <v>15</v>
      </c>
      <c r="G131" s="67">
        <v>45056</v>
      </c>
      <c r="H131" s="64">
        <v>251</v>
      </c>
      <c r="I131" s="64">
        <v>174.61</v>
      </c>
      <c r="J131" s="64">
        <v>330.4</v>
      </c>
    </row>
    <row r="132" spans="1:10">
      <c r="A132" s="64" t="s">
        <v>159</v>
      </c>
      <c r="B132" s="64" t="s">
        <v>17</v>
      </c>
      <c r="C132" s="64" t="s">
        <v>18</v>
      </c>
      <c r="D132" s="64" t="s">
        <v>27</v>
      </c>
      <c r="E132" s="64" t="s">
        <v>24</v>
      </c>
      <c r="F132" s="64" t="s">
        <v>15</v>
      </c>
      <c r="G132" s="67">
        <v>45057</v>
      </c>
      <c r="I132" s="64">
        <v>268.45999999999998</v>
      </c>
      <c r="J132" s="64">
        <v>199.19</v>
      </c>
    </row>
    <row r="133" spans="1:10">
      <c r="A133" s="64" t="s">
        <v>160</v>
      </c>
      <c r="B133" s="64" t="s">
        <v>22</v>
      </c>
      <c r="C133" s="64" t="s">
        <v>26</v>
      </c>
      <c r="D133" s="64" t="s">
        <v>27</v>
      </c>
      <c r="E133" s="64" t="s">
        <v>24</v>
      </c>
      <c r="F133" s="64" t="s">
        <v>15</v>
      </c>
      <c r="G133" s="67">
        <v>45058</v>
      </c>
      <c r="H133" s="64">
        <v>228</v>
      </c>
      <c r="I133" s="64">
        <v>67.239999999999995</v>
      </c>
      <c r="J133" s="64">
        <v>155.77000000000001</v>
      </c>
    </row>
    <row r="134" spans="1:10">
      <c r="A134" s="64" t="s">
        <v>161</v>
      </c>
      <c r="B134" s="64" t="s">
        <v>22</v>
      </c>
      <c r="C134" s="64" t="s">
        <v>50</v>
      </c>
      <c r="D134" s="64" t="s">
        <v>27</v>
      </c>
      <c r="E134" s="64" t="s">
        <v>14</v>
      </c>
      <c r="F134" s="64" t="s">
        <v>15</v>
      </c>
      <c r="G134" s="67">
        <v>45059</v>
      </c>
      <c r="H134" s="64">
        <v>201</v>
      </c>
      <c r="I134" s="64">
        <v>70.69</v>
      </c>
      <c r="J134" s="64">
        <v>181.15</v>
      </c>
    </row>
    <row r="135" spans="1:10">
      <c r="A135" s="64" t="s">
        <v>162</v>
      </c>
      <c r="B135" s="64" t="s">
        <v>22</v>
      </c>
      <c r="C135" s="64" t="s">
        <v>26</v>
      </c>
      <c r="D135" s="64" t="s">
        <v>23</v>
      </c>
      <c r="E135" s="64" t="s">
        <v>14</v>
      </c>
      <c r="F135" s="64" t="s">
        <v>15</v>
      </c>
      <c r="G135" s="67">
        <v>45060</v>
      </c>
      <c r="H135" s="64">
        <v>26</v>
      </c>
      <c r="I135" s="64">
        <v>76.05</v>
      </c>
      <c r="J135" s="64">
        <v>92.33</v>
      </c>
    </row>
    <row r="136" spans="1:10">
      <c r="A136" s="64" t="s">
        <v>163</v>
      </c>
      <c r="B136" s="64" t="s">
        <v>11</v>
      </c>
      <c r="C136" s="64" t="s">
        <v>26</v>
      </c>
      <c r="D136" s="64" t="s">
        <v>23</v>
      </c>
      <c r="E136" s="64" t="s">
        <v>14</v>
      </c>
      <c r="F136" s="64" t="s">
        <v>20</v>
      </c>
      <c r="G136" s="67">
        <v>45061</v>
      </c>
      <c r="H136" s="64">
        <v>21</v>
      </c>
      <c r="I136" s="64">
        <v>470.21</v>
      </c>
      <c r="J136" s="64">
        <v>355.98</v>
      </c>
    </row>
    <row r="137" spans="1:10">
      <c r="A137" s="64" t="s">
        <v>164</v>
      </c>
      <c r="B137" s="64" t="s">
        <v>22</v>
      </c>
      <c r="C137" s="64" t="s">
        <v>18</v>
      </c>
      <c r="D137" s="64" t="s">
        <v>27</v>
      </c>
      <c r="E137" s="64" t="s">
        <v>24</v>
      </c>
      <c r="F137" s="64" t="s">
        <v>28</v>
      </c>
      <c r="G137" s="67">
        <v>45062</v>
      </c>
      <c r="H137" s="64">
        <v>415</v>
      </c>
      <c r="I137" s="64">
        <v>367.78</v>
      </c>
      <c r="J137" s="64">
        <v>181.35</v>
      </c>
    </row>
    <row r="138" spans="1:10">
      <c r="A138" s="64" t="s">
        <v>165</v>
      </c>
      <c r="B138" s="64" t="s">
        <v>22</v>
      </c>
      <c r="C138" s="64" t="s">
        <v>12</v>
      </c>
      <c r="D138" s="64" t="s">
        <v>19</v>
      </c>
      <c r="E138" s="64" t="s">
        <v>24</v>
      </c>
      <c r="F138" s="64" t="s">
        <v>15</v>
      </c>
      <c r="G138" s="67">
        <v>45063</v>
      </c>
      <c r="H138" s="64">
        <v>410</v>
      </c>
      <c r="I138" s="64">
        <v>85.38</v>
      </c>
      <c r="J138" s="64">
        <v>353.22</v>
      </c>
    </row>
    <row r="139" spans="1:10">
      <c r="A139" s="64" t="s">
        <v>166</v>
      </c>
      <c r="B139" s="64" t="s">
        <v>22</v>
      </c>
      <c r="C139" s="64" t="s">
        <v>26</v>
      </c>
      <c r="D139" s="64" t="s">
        <v>42</v>
      </c>
      <c r="E139" s="64" t="s">
        <v>14</v>
      </c>
      <c r="F139" s="64" t="s">
        <v>20</v>
      </c>
      <c r="G139" s="67">
        <v>45064</v>
      </c>
      <c r="H139" s="64">
        <v>403</v>
      </c>
      <c r="I139" s="64">
        <v>98.23</v>
      </c>
      <c r="J139" s="64">
        <v>44.07</v>
      </c>
    </row>
    <row r="140" spans="1:10">
      <c r="A140" s="64" t="s">
        <v>167</v>
      </c>
      <c r="B140" s="64" t="s">
        <v>11</v>
      </c>
      <c r="C140" s="64" t="s">
        <v>31</v>
      </c>
      <c r="D140" s="64" t="s">
        <v>19</v>
      </c>
      <c r="E140" s="64" t="s">
        <v>24</v>
      </c>
      <c r="F140" s="64" t="s">
        <v>20</v>
      </c>
      <c r="G140" s="67">
        <v>45065</v>
      </c>
      <c r="H140" s="64">
        <v>383</v>
      </c>
      <c r="I140" s="64">
        <v>366.76</v>
      </c>
      <c r="J140" s="64">
        <v>395.33</v>
      </c>
    </row>
    <row r="141" spans="1:10">
      <c r="A141" s="64" t="s">
        <v>168</v>
      </c>
      <c r="B141" s="64" t="s">
        <v>22</v>
      </c>
      <c r="C141" s="64" t="s">
        <v>12</v>
      </c>
      <c r="D141" s="64" t="s">
        <v>13</v>
      </c>
      <c r="E141" s="64" t="s">
        <v>24</v>
      </c>
      <c r="F141" s="64" t="s">
        <v>20</v>
      </c>
      <c r="G141" s="67">
        <v>45066</v>
      </c>
      <c r="H141" s="64">
        <v>202</v>
      </c>
      <c r="I141" s="64">
        <v>82.3</v>
      </c>
      <c r="J141" s="64">
        <v>178.42</v>
      </c>
    </row>
    <row r="142" spans="1:10">
      <c r="A142" s="64" t="s">
        <v>169</v>
      </c>
      <c r="B142" s="64" t="s">
        <v>17</v>
      </c>
      <c r="C142" s="64" t="s">
        <v>50</v>
      </c>
      <c r="D142" s="64" t="s">
        <v>23</v>
      </c>
      <c r="E142" s="64" t="s">
        <v>24</v>
      </c>
      <c r="F142" s="64" t="s">
        <v>28</v>
      </c>
      <c r="G142" s="67">
        <v>45067</v>
      </c>
      <c r="H142" s="64">
        <v>31</v>
      </c>
      <c r="I142" s="64">
        <v>121.11</v>
      </c>
      <c r="J142" s="64">
        <v>21.04</v>
      </c>
    </row>
    <row r="143" spans="1:10">
      <c r="A143" s="64" t="s">
        <v>170</v>
      </c>
      <c r="B143" s="64" t="s">
        <v>22</v>
      </c>
      <c r="C143" s="64" t="s">
        <v>18</v>
      </c>
      <c r="D143" s="64" t="s">
        <v>42</v>
      </c>
      <c r="E143" s="64" t="s">
        <v>24</v>
      </c>
      <c r="F143" s="64" t="s">
        <v>15</v>
      </c>
      <c r="G143" s="67">
        <v>45068</v>
      </c>
      <c r="H143" s="64">
        <v>483</v>
      </c>
      <c r="I143" s="64">
        <v>481.86</v>
      </c>
      <c r="J143" s="64">
        <v>17.13</v>
      </c>
    </row>
    <row r="144" spans="1:10">
      <c r="A144" s="64" t="s">
        <v>171</v>
      </c>
      <c r="B144" s="64" t="s">
        <v>17</v>
      </c>
      <c r="C144" s="64" t="s">
        <v>50</v>
      </c>
      <c r="D144" s="64" t="s">
        <v>42</v>
      </c>
      <c r="E144" s="64" t="s">
        <v>24</v>
      </c>
      <c r="F144" s="64" t="s">
        <v>20</v>
      </c>
      <c r="G144" s="67">
        <v>45069</v>
      </c>
      <c r="H144" s="64">
        <v>129</v>
      </c>
      <c r="I144" s="64">
        <v>131.38</v>
      </c>
      <c r="J144" s="64">
        <v>298.99</v>
      </c>
    </row>
    <row r="145" spans="1:10">
      <c r="A145" s="64" t="s">
        <v>172</v>
      </c>
      <c r="B145" s="64" t="s">
        <v>17</v>
      </c>
      <c r="C145" s="64" t="s">
        <v>12</v>
      </c>
      <c r="D145" s="64" t="s">
        <v>13</v>
      </c>
      <c r="E145" s="64" t="s">
        <v>14</v>
      </c>
      <c r="F145" s="64" t="s">
        <v>28</v>
      </c>
      <c r="G145" s="67">
        <v>45070</v>
      </c>
      <c r="H145" s="64">
        <v>219</v>
      </c>
      <c r="I145" s="64">
        <v>332.51</v>
      </c>
      <c r="J145" s="64">
        <v>264.3</v>
      </c>
    </row>
    <row r="146" spans="1:10">
      <c r="A146" s="64" t="s">
        <v>173</v>
      </c>
      <c r="B146" s="64" t="s">
        <v>17</v>
      </c>
      <c r="C146" s="64" t="s">
        <v>12</v>
      </c>
      <c r="D146" s="64" t="s">
        <v>13</v>
      </c>
      <c r="E146" s="64" t="s">
        <v>24</v>
      </c>
      <c r="F146" s="64" t="s">
        <v>28</v>
      </c>
      <c r="G146" s="67">
        <v>45071</v>
      </c>
      <c r="H146" s="64">
        <v>315</v>
      </c>
      <c r="I146" s="64">
        <v>489.42</v>
      </c>
      <c r="J146" s="64">
        <v>321.25</v>
      </c>
    </row>
    <row r="147" spans="1:10">
      <c r="A147" s="64" t="s">
        <v>174</v>
      </c>
      <c r="B147" s="64" t="s">
        <v>11</v>
      </c>
      <c r="C147" s="64" t="s">
        <v>12</v>
      </c>
      <c r="D147" s="64" t="s">
        <v>27</v>
      </c>
      <c r="E147" s="64" t="s">
        <v>14</v>
      </c>
      <c r="F147" s="64" t="s">
        <v>28</v>
      </c>
      <c r="G147" s="67">
        <v>45072</v>
      </c>
      <c r="H147" s="64">
        <v>279</v>
      </c>
      <c r="I147" s="64">
        <v>190.28</v>
      </c>
      <c r="J147" s="64">
        <v>43.94</v>
      </c>
    </row>
    <row r="148" spans="1:10">
      <c r="A148" s="64" t="s">
        <v>175</v>
      </c>
      <c r="B148" s="64" t="s">
        <v>11</v>
      </c>
      <c r="C148" s="64" t="s">
        <v>50</v>
      </c>
      <c r="D148" s="64" t="s">
        <v>23</v>
      </c>
      <c r="E148" s="64" t="s">
        <v>24</v>
      </c>
      <c r="F148" s="64" t="s">
        <v>20</v>
      </c>
      <c r="G148" s="67">
        <v>45073</v>
      </c>
      <c r="H148" s="64">
        <v>201</v>
      </c>
      <c r="I148" s="64">
        <v>13.67</v>
      </c>
      <c r="J148" s="64">
        <v>16.16</v>
      </c>
    </row>
    <row r="149" spans="1:10">
      <c r="A149" s="64" t="s">
        <v>176</v>
      </c>
      <c r="B149" s="64" t="s">
        <v>11</v>
      </c>
      <c r="C149" s="64" t="s">
        <v>12</v>
      </c>
      <c r="D149" s="64" t="s">
        <v>23</v>
      </c>
      <c r="E149" s="64" t="s">
        <v>14</v>
      </c>
      <c r="F149" s="64" t="s">
        <v>15</v>
      </c>
      <c r="G149" s="67">
        <v>45074</v>
      </c>
      <c r="H149" s="64">
        <v>184</v>
      </c>
      <c r="I149" s="64">
        <v>125.85</v>
      </c>
      <c r="J149" s="64">
        <v>204.41</v>
      </c>
    </row>
    <row r="150" spans="1:10">
      <c r="A150" s="64" t="s">
        <v>177</v>
      </c>
      <c r="B150" s="64" t="s">
        <v>22</v>
      </c>
      <c r="C150" s="64" t="s">
        <v>50</v>
      </c>
      <c r="D150" s="64" t="s">
        <v>19</v>
      </c>
      <c r="E150" s="64" t="s">
        <v>24</v>
      </c>
      <c r="F150" s="64" t="s">
        <v>20</v>
      </c>
      <c r="G150" s="67">
        <v>45075</v>
      </c>
      <c r="H150" s="64">
        <v>294</v>
      </c>
      <c r="I150" s="64">
        <v>416.28</v>
      </c>
      <c r="J150" s="64">
        <v>156.26</v>
      </c>
    </row>
    <row r="151" spans="1:10">
      <c r="A151" s="64" t="s">
        <v>178</v>
      </c>
      <c r="B151" s="64" t="s">
        <v>17</v>
      </c>
      <c r="C151" s="64" t="s">
        <v>12</v>
      </c>
      <c r="D151" s="64" t="s">
        <v>27</v>
      </c>
      <c r="E151" s="64" t="s">
        <v>14</v>
      </c>
      <c r="F151" s="64" t="s">
        <v>20</v>
      </c>
      <c r="G151" s="67">
        <v>45076</v>
      </c>
      <c r="H151" s="64">
        <v>213</v>
      </c>
      <c r="I151" s="64">
        <v>432.98</v>
      </c>
      <c r="J151" s="64">
        <v>185.85</v>
      </c>
    </row>
    <row r="152" spans="1:10">
      <c r="A152" s="64" t="s">
        <v>179</v>
      </c>
      <c r="B152" s="64" t="s">
        <v>11</v>
      </c>
      <c r="C152" s="64" t="s">
        <v>31</v>
      </c>
      <c r="D152" s="64" t="s">
        <v>27</v>
      </c>
      <c r="E152" s="64" t="s">
        <v>24</v>
      </c>
      <c r="F152" s="64" t="s">
        <v>15</v>
      </c>
      <c r="G152" s="67">
        <v>45077</v>
      </c>
      <c r="H152" s="64">
        <v>173</v>
      </c>
      <c r="I152" s="64">
        <v>385.42</v>
      </c>
      <c r="J152" s="64">
        <v>396.65</v>
      </c>
    </row>
    <row r="153" spans="1:10">
      <c r="A153" s="64" t="s">
        <v>180</v>
      </c>
      <c r="B153" s="64" t="s">
        <v>11</v>
      </c>
      <c r="C153" s="64" t="s">
        <v>12</v>
      </c>
      <c r="D153" s="64" t="s">
        <v>27</v>
      </c>
      <c r="E153" s="64" t="s">
        <v>14</v>
      </c>
      <c r="F153" s="64" t="s">
        <v>15</v>
      </c>
      <c r="G153" s="67">
        <v>45078</v>
      </c>
      <c r="H153" s="64">
        <v>260</v>
      </c>
      <c r="I153" s="64">
        <v>60.99</v>
      </c>
      <c r="J153" s="64">
        <v>388.36</v>
      </c>
    </row>
    <row r="154" spans="1:10">
      <c r="A154" s="64" t="s">
        <v>181</v>
      </c>
      <c r="B154" s="64" t="s">
        <v>22</v>
      </c>
      <c r="C154" s="64" t="s">
        <v>50</v>
      </c>
      <c r="D154" s="64" t="s">
        <v>27</v>
      </c>
      <c r="E154" s="64" t="s">
        <v>24</v>
      </c>
      <c r="F154" s="64" t="s">
        <v>15</v>
      </c>
      <c r="G154" s="67">
        <v>45079</v>
      </c>
      <c r="H154" s="64">
        <v>236</v>
      </c>
      <c r="I154" s="64">
        <v>398.78</v>
      </c>
      <c r="J154" s="64">
        <v>377.04</v>
      </c>
    </row>
    <row r="155" spans="1:10">
      <c r="A155" s="64" t="s">
        <v>182</v>
      </c>
      <c r="B155" s="64" t="s">
        <v>11</v>
      </c>
      <c r="C155" s="64" t="s">
        <v>26</v>
      </c>
      <c r="D155" s="64" t="s">
        <v>23</v>
      </c>
      <c r="E155" s="64" t="s">
        <v>14</v>
      </c>
      <c r="F155" s="64" t="s">
        <v>28</v>
      </c>
      <c r="G155" s="67">
        <v>45080</v>
      </c>
      <c r="H155" s="64">
        <v>445</v>
      </c>
      <c r="I155" s="64">
        <v>459.75</v>
      </c>
      <c r="J155" s="64">
        <v>313.97000000000003</v>
      </c>
    </row>
    <row r="156" spans="1:10">
      <c r="A156" s="64" t="s">
        <v>183</v>
      </c>
      <c r="B156" s="64" t="s">
        <v>22</v>
      </c>
      <c r="C156" s="64" t="s">
        <v>12</v>
      </c>
      <c r="D156" s="64" t="s">
        <v>23</v>
      </c>
      <c r="E156" s="64" t="s">
        <v>24</v>
      </c>
      <c r="F156" s="64" t="s">
        <v>15</v>
      </c>
      <c r="G156" s="67">
        <v>45081</v>
      </c>
      <c r="H156" s="64">
        <v>390</v>
      </c>
      <c r="I156" s="64">
        <v>302.3</v>
      </c>
      <c r="J156" s="64">
        <v>143.22999999999999</v>
      </c>
    </row>
    <row r="157" spans="1:10">
      <c r="A157" s="64" t="s">
        <v>184</v>
      </c>
      <c r="B157" s="64" t="s">
        <v>48</v>
      </c>
      <c r="C157" s="64" t="s">
        <v>26</v>
      </c>
      <c r="D157" s="64" t="s">
        <v>27</v>
      </c>
      <c r="E157" s="64" t="s">
        <v>14</v>
      </c>
      <c r="F157" s="64" t="s">
        <v>20</v>
      </c>
      <c r="G157" s="67">
        <v>45082</v>
      </c>
      <c r="H157" s="64">
        <v>469</v>
      </c>
      <c r="I157" s="64">
        <v>470.73</v>
      </c>
      <c r="J157" s="64">
        <v>166.03</v>
      </c>
    </row>
    <row r="158" spans="1:10">
      <c r="A158" s="64" t="s">
        <v>185</v>
      </c>
      <c r="B158" s="64" t="s">
        <v>11</v>
      </c>
      <c r="C158" s="64" t="s">
        <v>31</v>
      </c>
      <c r="D158" s="64" t="s">
        <v>19</v>
      </c>
      <c r="E158" s="64" t="s">
        <v>14</v>
      </c>
      <c r="F158" s="64" t="s">
        <v>15</v>
      </c>
      <c r="G158" s="67">
        <v>45083</v>
      </c>
      <c r="H158" s="64">
        <v>16</v>
      </c>
      <c r="J158" s="64">
        <v>220.75</v>
      </c>
    </row>
    <row r="159" spans="1:10">
      <c r="A159" s="64" t="s">
        <v>186</v>
      </c>
      <c r="B159" s="64" t="s">
        <v>48</v>
      </c>
      <c r="C159" s="64" t="s">
        <v>18</v>
      </c>
      <c r="D159" s="64" t="s">
        <v>42</v>
      </c>
      <c r="E159" s="64" t="s">
        <v>24</v>
      </c>
      <c r="F159" s="64" t="s">
        <v>20</v>
      </c>
      <c r="G159" s="67">
        <v>45084</v>
      </c>
      <c r="H159" s="64">
        <v>38</v>
      </c>
      <c r="I159" s="64">
        <v>335.15</v>
      </c>
      <c r="J159" s="64">
        <v>332.55</v>
      </c>
    </row>
    <row r="160" spans="1:10">
      <c r="A160" s="64" t="s">
        <v>187</v>
      </c>
      <c r="B160" s="64" t="s">
        <v>22</v>
      </c>
      <c r="C160" s="64" t="s">
        <v>31</v>
      </c>
      <c r="E160" s="64" t="s">
        <v>24</v>
      </c>
      <c r="F160" s="64" t="s">
        <v>28</v>
      </c>
      <c r="G160" s="67">
        <v>45085</v>
      </c>
      <c r="H160" s="64">
        <v>404</v>
      </c>
      <c r="I160" s="64">
        <v>290.70999999999998</v>
      </c>
      <c r="J160" s="64">
        <v>29.35</v>
      </c>
    </row>
    <row r="161" spans="1:10">
      <c r="A161" s="64" t="s">
        <v>188</v>
      </c>
      <c r="B161" s="64" t="s">
        <v>17</v>
      </c>
      <c r="C161" s="64" t="s">
        <v>12</v>
      </c>
      <c r="D161" s="64" t="s">
        <v>19</v>
      </c>
      <c r="E161" s="64" t="s">
        <v>14</v>
      </c>
      <c r="F161" s="64" t="s">
        <v>20</v>
      </c>
      <c r="G161" s="67">
        <v>45086</v>
      </c>
      <c r="H161" s="64">
        <v>42</v>
      </c>
      <c r="I161" s="64">
        <v>177.54</v>
      </c>
      <c r="J161" s="64">
        <v>170.87</v>
      </c>
    </row>
    <row r="162" spans="1:10">
      <c r="A162" s="64" t="s">
        <v>189</v>
      </c>
      <c r="B162" s="64" t="s">
        <v>11</v>
      </c>
      <c r="C162" s="64" t="s">
        <v>26</v>
      </c>
      <c r="D162" s="64" t="s">
        <v>27</v>
      </c>
      <c r="E162" s="64" t="s">
        <v>24</v>
      </c>
      <c r="F162" s="64" t="s">
        <v>20</v>
      </c>
      <c r="G162" s="67">
        <v>45087</v>
      </c>
      <c r="H162" s="64">
        <v>143</v>
      </c>
      <c r="I162" s="64">
        <v>83.85</v>
      </c>
      <c r="J162" s="64">
        <v>34.880000000000003</v>
      </c>
    </row>
    <row r="163" spans="1:10">
      <c r="A163" s="64" t="s">
        <v>190</v>
      </c>
      <c r="B163" s="64" t="s">
        <v>22</v>
      </c>
      <c r="C163" s="64" t="s">
        <v>26</v>
      </c>
      <c r="D163" s="64" t="s">
        <v>23</v>
      </c>
      <c r="E163" s="64" t="s">
        <v>14</v>
      </c>
      <c r="F163" s="64" t="s">
        <v>15</v>
      </c>
      <c r="G163" s="67">
        <v>45088</v>
      </c>
      <c r="H163" s="64">
        <v>376</v>
      </c>
      <c r="I163" s="64">
        <v>304.45</v>
      </c>
      <c r="J163" s="64">
        <v>206.83</v>
      </c>
    </row>
    <row r="164" spans="1:10">
      <c r="A164" s="64" t="s">
        <v>191</v>
      </c>
      <c r="B164" s="64" t="s">
        <v>17</v>
      </c>
      <c r="C164" s="64" t="s">
        <v>50</v>
      </c>
      <c r="D164" s="64" t="s">
        <v>42</v>
      </c>
      <c r="E164" s="64" t="s">
        <v>14</v>
      </c>
      <c r="F164" s="64" t="s">
        <v>15</v>
      </c>
      <c r="G164" s="67">
        <v>45089</v>
      </c>
      <c r="H164" s="64">
        <v>88</v>
      </c>
      <c r="I164" s="64">
        <v>162.47</v>
      </c>
      <c r="J164" s="64">
        <v>359.76</v>
      </c>
    </row>
    <row r="165" spans="1:10">
      <c r="A165" s="64" t="s">
        <v>192</v>
      </c>
      <c r="B165" s="64" t="s">
        <v>17</v>
      </c>
      <c r="C165" s="64" t="s">
        <v>26</v>
      </c>
      <c r="D165" s="64" t="s">
        <v>13</v>
      </c>
      <c r="E165" s="64" t="s">
        <v>14</v>
      </c>
      <c r="F165" s="64" t="s">
        <v>20</v>
      </c>
      <c r="G165" s="67">
        <v>45090</v>
      </c>
      <c r="H165" s="64">
        <v>425</v>
      </c>
      <c r="I165" s="64">
        <v>433.89</v>
      </c>
      <c r="J165" s="64">
        <v>313.43</v>
      </c>
    </row>
    <row r="166" spans="1:10">
      <c r="A166" s="64" t="s">
        <v>193</v>
      </c>
      <c r="B166" s="64" t="s">
        <v>48</v>
      </c>
      <c r="C166" s="64" t="s">
        <v>50</v>
      </c>
      <c r="D166" s="64" t="s">
        <v>13</v>
      </c>
      <c r="E166" s="64" t="s">
        <v>24</v>
      </c>
      <c r="F166" s="64" t="s">
        <v>15</v>
      </c>
      <c r="G166" s="67">
        <v>45091</v>
      </c>
      <c r="H166" s="64">
        <v>444</v>
      </c>
      <c r="I166" s="64">
        <v>496.7</v>
      </c>
      <c r="J166" s="64">
        <v>92.68</v>
      </c>
    </row>
    <row r="167" spans="1:10">
      <c r="A167" s="64" t="s">
        <v>194</v>
      </c>
      <c r="B167" s="64" t="s">
        <v>22</v>
      </c>
      <c r="C167" s="64" t="s">
        <v>18</v>
      </c>
      <c r="D167" s="64" t="s">
        <v>19</v>
      </c>
      <c r="E167" s="64" t="s">
        <v>14</v>
      </c>
      <c r="F167" s="64" t="s">
        <v>28</v>
      </c>
      <c r="G167" s="67">
        <v>45092</v>
      </c>
      <c r="H167" s="64">
        <v>468</v>
      </c>
      <c r="I167" s="64">
        <v>377.45</v>
      </c>
      <c r="J167" s="64">
        <v>390.44</v>
      </c>
    </row>
    <row r="168" spans="1:10">
      <c r="A168" s="64" t="s">
        <v>195</v>
      </c>
      <c r="B168" s="64" t="s">
        <v>17</v>
      </c>
      <c r="C168" s="64" t="s">
        <v>12</v>
      </c>
      <c r="D168" s="64" t="s">
        <v>27</v>
      </c>
      <c r="E168" s="64" t="s">
        <v>14</v>
      </c>
      <c r="F168" s="64" t="s">
        <v>28</v>
      </c>
      <c r="G168" s="67">
        <v>45093</v>
      </c>
      <c r="H168" s="64">
        <v>67</v>
      </c>
      <c r="I168" s="64">
        <v>49.79</v>
      </c>
      <c r="J168" s="64">
        <v>267.61</v>
      </c>
    </row>
    <row r="169" spans="1:10">
      <c r="A169" s="64" t="s">
        <v>196</v>
      </c>
      <c r="B169" s="64" t="s">
        <v>11</v>
      </c>
      <c r="C169" s="64" t="s">
        <v>50</v>
      </c>
      <c r="D169" s="64" t="s">
        <v>42</v>
      </c>
      <c r="E169" s="64" t="s">
        <v>24</v>
      </c>
      <c r="F169" s="64" t="s">
        <v>15</v>
      </c>
      <c r="G169" s="67">
        <v>45094</v>
      </c>
      <c r="H169" s="64">
        <v>480</v>
      </c>
      <c r="I169" s="64">
        <v>147.9</v>
      </c>
      <c r="J169" s="64">
        <v>6.15</v>
      </c>
    </row>
    <row r="170" spans="1:10">
      <c r="A170" s="64" t="s">
        <v>197</v>
      </c>
      <c r="B170" s="64" t="s">
        <v>11</v>
      </c>
      <c r="C170" s="64" t="s">
        <v>18</v>
      </c>
      <c r="D170" s="64" t="s">
        <v>27</v>
      </c>
      <c r="E170" s="64" t="s">
        <v>24</v>
      </c>
      <c r="F170" s="64" t="s">
        <v>28</v>
      </c>
      <c r="G170" s="67">
        <v>45095</v>
      </c>
      <c r="H170" s="64">
        <v>35</v>
      </c>
      <c r="I170" s="64">
        <v>59.01</v>
      </c>
      <c r="J170" s="64">
        <v>103.65</v>
      </c>
    </row>
    <row r="171" spans="1:10">
      <c r="A171" s="64" t="s">
        <v>198</v>
      </c>
      <c r="B171" s="64" t="s">
        <v>48</v>
      </c>
      <c r="C171" s="64" t="s">
        <v>26</v>
      </c>
      <c r="D171" s="64" t="s">
        <v>42</v>
      </c>
      <c r="E171" s="64" t="s">
        <v>24</v>
      </c>
      <c r="F171" s="64" t="s">
        <v>15</v>
      </c>
      <c r="G171" s="67">
        <v>45096</v>
      </c>
      <c r="H171" s="64">
        <v>491</v>
      </c>
      <c r="I171" s="64">
        <v>327</v>
      </c>
      <c r="J171" s="64">
        <v>105.76</v>
      </c>
    </row>
    <row r="172" spans="1:10">
      <c r="A172" s="64" t="s">
        <v>199</v>
      </c>
      <c r="B172" s="64" t="s">
        <v>17</v>
      </c>
      <c r="C172" s="64" t="s">
        <v>26</v>
      </c>
      <c r="D172" s="64" t="s">
        <v>19</v>
      </c>
      <c r="E172" s="64" t="s">
        <v>24</v>
      </c>
      <c r="F172" s="64" t="s">
        <v>20</v>
      </c>
      <c r="G172" s="67">
        <v>45097</v>
      </c>
      <c r="H172" s="64">
        <v>439</v>
      </c>
      <c r="I172" s="64">
        <v>383.77</v>
      </c>
      <c r="J172" s="64">
        <v>29.56</v>
      </c>
    </row>
    <row r="173" spans="1:10">
      <c r="A173" s="64" t="s">
        <v>200</v>
      </c>
      <c r="B173" s="64" t="s">
        <v>22</v>
      </c>
      <c r="C173" s="64" t="s">
        <v>18</v>
      </c>
      <c r="D173" s="64" t="s">
        <v>19</v>
      </c>
      <c r="E173" s="64" t="s">
        <v>14</v>
      </c>
      <c r="F173" s="64" t="s">
        <v>20</v>
      </c>
      <c r="G173" s="67">
        <v>45098</v>
      </c>
      <c r="H173" s="64">
        <v>235</v>
      </c>
      <c r="I173" s="64">
        <v>463.21</v>
      </c>
      <c r="J173" s="64">
        <v>384.01</v>
      </c>
    </row>
    <row r="174" spans="1:10">
      <c r="A174" s="64" t="s">
        <v>201</v>
      </c>
      <c r="B174" s="64" t="s">
        <v>11</v>
      </c>
      <c r="C174" s="64" t="s">
        <v>26</v>
      </c>
      <c r="D174" s="64" t="s">
        <v>13</v>
      </c>
      <c r="E174" s="64" t="s">
        <v>14</v>
      </c>
      <c r="F174" s="64" t="s">
        <v>28</v>
      </c>
      <c r="G174" s="67">
        <v>45099</v>
      </c>
      <c r="H174" s="64">
        <v>294</v>
      </c>
      <c r="I174" s="64">
        <v>221.9</v>
      </c>
      <c r="J174" s="64">
        <v>192.35</v>
      </c>
    </row>
    <row r="175" spans="1:10">
      <c r="A175" s="64" t="s">
        <v>202</v>
      </c>
      <c r="B175" s="64" t="s">
        <v>17</v>
      </c>
      <c r="C175" s="64" t="s">
        <v>18</v>
      </c>
      <c r="D175" s="64" t="s">
        <v>27</v>
      </c>
      <c r="E175" s="64" t="s">
        <v>14</v>
      </c>
      <c r="F175" s="64" t="s">
        <v>15</v>
      </c>
      <c r="G175" s="67">
        <v>45100</v>
      </c>
      <c r="H175" s="64">
        <v>13</v>
      </c>
      <c r="I175" s="64">
        <v>451.18</v>
      </c>
      <c r="J175" s="64">
        <v>358.53</v>
      </c>
    </row>
    <row r="176" spans="1:10">
      <c r="A176" s="64" t="s">
        <v>203</v>
      </c>
      <c r="B176" s="64" t="s">
        <v>17</v>
      </c>
      <c r="C176" s="64" t="s">
        <v>50</v>
      </c>
      <c r="D176" s="64" t="s">
        <v>13</v>
      </c>
      <c r="E176" s="64" t="s">
        <v>14</v>
      </c>
      <c r="F176" s="64" t="s">
        <v>15</v>
      </c>
      <c r="G176" s="67">
        <v>45101</v>
      </c>
      <c r="H176" s="64">
        <v>474</v>
      </c>
      <c r="I176" s="64">
        <v>439.56</v>
      </c>
      <c r="J176" s="64">
        <v>130.24</v>
      </c>
    </row>
    <row r="177" spans="1:10">
      <c r="A177" s="64" t="s">
        <v>204</v>
      </c>
      <c r="B177" s="64" t="s">
        <v>48</v>
      </c>
      <c r="C177" s="64" t="s">
        <v>50</v>
      </c>
      <c r="D177" s="64" t="s">
        <v>27</v>
      </c>
      <c r="E177" s="64" t="s">
        <v>24</v>
      </c>
      <c r="F177" s="64" t="s">
        <v>28</v>
      </c>
      <c r="G177" s="67">
        <v>45102</v>
      </c>
      <c r="H177" s="64">
        <v>108</v>
      </c>
      <c r="I177" s="64">
        <v>162.01</v>
      </c>
      <c r="J177" s="64">
        <v>51.84</v>
      </c>
    </row>
    <row r="178" spans="1:10">
      <c r="A178" s="64" t="s">
        <v>205</v>
      </c>
      <c r="B178" s="64" t="s">
        <v>11</v>
      </c>
      <c r="C178" s="64" t="s">
        <v>18</v>
      </c>
      <c r="D178" s="64" t="s">
        <v>13</v>
      </c>
      <c r="E178" s="64" t="s">
        <v>14</v>
      </c>
      <c r="F178" s="64" t="s">
        <v>20</v>
      </c>
      <c r="G178" s="67">
        <v>45103</v>
      </c>
      <c r="H178" s="64">
        <v>406</v>
      </c>
      <c r="I178" s="64">
        <v>435.11</v>
      </c>
      <c r="J178" s="64">
        <v>190.79</v>
      </c>
    </row>
    <row r="179" spans="1:10">
      <c r="A179" s="64" t="s">
        <v>206</v>
      </c>
      <c r="B179" s="64" t="s">
        <v>11</v>
      </c>
      <c r="C179" s="64" t="s">
        <v>50</v>
      </c>
      <c r="D179" s="64" t="s">
        <v>23</v>
      </c>
      <c r="E179" s="64" t="s">
        <v>14</v>
      </c>
      <c r="F179" s="64" t="s">
        <v>28</v>
      </c>
      <c r="G179" s="67">
        <v>45104</v>
      </c>
      <c r="H179" s="64">
        <v>498</v>
      </c>
      <c r="I179" s="64">
        <v>190.96</v>
      </c>
      <c r="J179" s="64">
        <v>47.35</v>
      </c>
    </row>
    <row r="180" spans="1:10">
      <c r="A180" s="64" t="s">
        <v>207</v>
      </c>
      <c r="B180" s="64" t="s">
        <v>22</v>
      </c>
      <c r="C180" s="64" t="s">
        <v>50</v>
      </c>
      <c r="D180" s="64" t="s">
        <v>23</v>
      </c>
      <c r="E180" s="64" t="s">
        <v>24</v>
      </c>
      <c r="F180" s="64" t="s">
        <v>20</v>
      </c>
      <c r="G180" s="67">
        <v>45105</v>
      </c>
      <c r="H180" s="64">
        <v>48</v>
      </c>
      <c r="I180" s="64">
        <v>151.94999999999999</v>
      </c>
      <c r="J180" s="64">
        <v>195.43</v>
      </c>
    </row>
    <row r="181" spans="1:10">
      <c r="A181" s="64" t="s">
        <v>208</v>
      </c>
      <c r="B181" s="64" t="s">
        <v>11</v>
      </c>
      <c r="C181" s="64" t="s">
        <v>50</v>
      </c>
      <c r="D181" s="64" t="s">
        <v>23</v>
      </c>
      <c r="E181" s="64" t="s">
        <v>14</v>
      </c>
      <c r="F181" s="64" t="s">
        <v>15</v>
      </c>
      <c r="G181" s="67">
        <v>45106</v>
      </c>
      <c r="H181" s="64">
        <v>280</v>
      </c>
      <c r="I181" s="64">
        <v>326.29000000000002</v>
      </c>
      <c r="J181" s="64">
        <v>368.28</v>
      </c>
    </row>
    <row r="182" spans="1:10">
      <c r="A182" s="64" t="s">
        <v>209</v>
      </c>
      <c r="B182" s="64" t="s">
        <v>22</v>
      </c>
      <c r="C182" s="64" t="s">
        <v>31</v>
      </c>
      <c r="D182" s="64" t="s">
        <v>23</v>
      </c>
      <c r="E182" s="64" t="s">
        <v>14</v>
      </c>
      <c r="F182" s="64" t="s">
        <v>20</v>
      </c>
      <c r="G182" s="67">
        <v>45107</v>
      </c>
      <c r="H182" s="64">
        <v>384</v>
      </c>
      <c r="I182" s="64">
        <v>167.55</v>
      </c>
      <c r="J182" s="64">
        <v>209.27</v>
      </c>
    </row>
    <row r="183" spans="1:10">
      <c r="A183" s="64" t="s">
        <v>210</v>
      </c>
      <c r="B183" s="64" t="s">
        <v>11</v>
      </c>
      <c r="C183" s="64" t="s">
        <v>12</v>
      </c>
      <c r="D183" s="64" t="s">
        <v>42</v>
      </c>
      <c r="E183" s="64" t="s">
        <v>14</v>
      </c>
      <c r="F183" s="64" t="s">
        <v>28</v>
      </c>
      <c r="G183" s="67">
        <v>45108</v>
      </c>
      <c r="H183" s="64">
        <v>294</v>
      </c>
      <c r="I183" s="64">
        <v>316.95</v>
      </c>
      <c r="J183" s="64">
        <v>247.37</v>
      </c>
    </row>
    <row r="184" spans="1:10">
      <c r="A184" s="64" t="s">
        <v>211</v>
      </c>
      <c r="B184" s="64" t="s">
        <v>48</v>
      </c>
      <c r="C184" s="64" t="s">
        <v>26</v>
      </c>
      <c r="D184" s="64" t="s">
        <v>23</v>
      </c>
      <c r="E184" s="64" t="s">
        <v>14</v>
      </c>
      <c r="F184" s="64" t="s">
        <v>15</v>
      </c>
      <c r="G184" s="67">
        <v>45109</v>
      </c>
      <c r="H184" s="64">
        <v>166</v>
      </c>
      <c r="I184" s="64">
        <v>306.87</v>
      </c>
      <c r="J184" s="64">
        <v>64.34</v>
      </c>
    </row>
    <row r="185" spans="1:10">
      <c r="A185" s="64" t="s">
        <v>212</v>
      </c>
      <c r="B185" s="64" t="s">
        <v>11</v>
      </c>
      <c r="C185" s="64" t="s">
        <v>31</v>
      </c>
      <c r="D185" s="64" t="s">
        <v>19</v>
      </c>
      <c r="E185" s="64" t="s">
        <v>14</v>
      </c>
      <c r="F185" s="64" t="s">
        <v>28</v>
      </c>
      <c r="G185" s="67">
        <v>45110</v>
      </c>
      <c r="H185" s="64">
        <v>84</v>
      </c>
      <c r="I185" s="64">
        <v>283.89999999999998</v>
      </c>
      <c r="J185" s="64">
        <v>19.41</v>
      </c>
    </row>
    <row r="186" spans="1:10">
      <c r="A186" s="64" t="s">
        <v>213</v>
      </c>
      <c r="B186" s="64" t="s">
        <v>22</v>
      </c>
      <c r="C186" s="64" t="s">
        <v>50</v>
      </c>
      <c r="D186" s="64" t="s">
        <v>19</v>
      </c>
      <c r="E186" s="64" t="s">
        <v>14</v>
      </c>
      <c r="F186" s="64" t="s">
        <v>28</v>
      </c>
      <c r="G186" s="67">
        <v>45111</v>
      </c>
      <c r="H186" s="64">
        <v>381</v>
      </c>
      <c r="I186" s="64">
        <v>193.31</v>
      </c>
      <c r="J186" s="64">
        <v>46.1</v>
      </c>
    </row>
    <row r="187" spans="1:10">
      <c r="A187" s="64" t="s">
        <v>214</v>
      </c>
      <c r="B187" s="64" t="s">
        <v>22</v>
      </c>
      <c r="C187" s="64" t="s">
        <v>18</v>
      </c>
      <c r="D187" s="64" t="s">
        <v>42</v>
      </c>
      <c r="E187" s="64" t="s">
        <v>24</v>
      </c>
      <c r="F187" s="64" t="s">
        <v>20</v>
      </c>
      <c r="G187" s="67">
        <v>45112</v>
      </c>
      <c r="H187" s="64">
        <v>297</v>
      </c>
      <c r="I187" s="64">
        <v>276.51</v>
      </c>
      <c r="J187" s="64">
        <v>240.22</v>
      </c>
    </row>
    <row r="188" spans="1:10">
      <c r="A188" s="64" t="s">
        <v>215</v>
      </c>
      <c r="B188" s="64" t="s">
        <v>48</v>
      </c>
      <c r="C188" s="64" t="s">
        <v>50</v>
      </c>
      <c r="D188" s="64" t="s">
        <v>23</v>
      </c>
      <c r="E188" s="64" t="s">
        <v>24</v>
      </c>
      <c r="F188" s="64" t="s">
        <v>28</v>
      </c>
      <c r="G188" s="67">
        <v>45113</v>
      </c>
      <c r="H188" s="64">
        <v>139</v>
      </c>
      <c r="I188" s="64">
        <v>300.26</v>
      </c>
      <c r="J188" s="64">
        <v>39.81</v>
      </c>
    </row>
    <row r="189" spans="1:10">
      <c r="A189" s="64" t="s">
        <v>216</v>
      </c>
      <c r="B189" s="64" t="s">
        <v>11</v>
      </c>
      <c r="C189" s="64" t="s">
        <v>12</v>
      </c>
      <c r="D189" s="64" t="s">
        <v>23</v>
      </c>
      <c r="E189" s="64" t="s">
        <v>14</v>
      </c>
      <c r="F189" s="64" t="s">
        <v>20</v>
      </c>
      <c r="G189" s="67">
        <v>45114</v>
      </c>
      <c r="H189" s="64">
        <v>184</v>
      </c>
      <c r="I189" s="64">
        <v>275.12</v>
      </c>
      <c r="J189" s="64">
        <v>151.65</v>
      </c>
    </row>
    <row r="190" spans="1:10">
      <c r="A190" s="64" t="s">
        <v>217</v>
      </c>
      <c r="B190" s="64" t="s">
        <v>11</v>
      </c>
      <c r="C190" s="64" t="s">
        <v>50</v>
      </c>
      <c r="D190" s="64" t="s">
        <v>23</v>
      </c>
      <c r="E190" s="64" t="s">
        <v>14</v>
      </c>
      <c r="F190" s="64" t="s">
        <v>15</v>
      </c>
      <c r="G190" s="67">
        <v>45115</v>
      </c>
      <c r="H190" s="64">
        <v>471</v>
      </c>
      <c r="I190" s="64">
        <v>224.99</v>
      </c>
      <c r="J190" s="64">
        <v>220.94</v>
      </c>
    </row>
    <row r="191" spans="1:10">
      <c r="A191" s="64" t="s">
        <v>218</v>
      </c>
      <c r="B191" s="64" t="s">
        <v>48</v>
      </c>
      <c r="C191" s="64" t="s">
        <v>18</v>
      </c>
      <c r="D191" s="64" t="s">
        <v>13</v>
      </c>
      <c r="E191" s="64" t="s">
        <v>24</v>
      </c>
      <c r="F191" s="64" t="s">
        <v>20</v>
      </c>
      <c r="G191" s="67">
        <v>45116</v>
      </c>
      <c r="H191" s="64">
        <v>93</v>
      </c>
      <c r="I191" s="64">
        <v>12.26</v>
      </c>
      <c r="J191" s="64">
        <v>156.68</v>
      </c>
    </row>
    <row r="192" spans="1:10">
      <c r="A192" s="64" t="s">
        <v>219</v>
      </c>
      <c r="B192" s="64" t="s">
        <v>11</v>
      </c>
      <c r="C192" s="64" t="s">
        <v>12</v>
      </c>
      <c r="D192" s="64" t="s">
        <v>27</v>
      </c>
      <c r="E192" s="64" t="s">
        <v>14</v>
      </c>
      <c r="F192" s="64" t="s">
        <v>15</v>
      </c>
      <c r="G192" s="67">
        <v>45117</v>
      </c>
      <c r="H192" s="64">
        <v>31</v>
      </c>
      <c r="I192" s="64">
        <v>295.60000000000002</v>
      </c>
      <c r="J192" s="64">
        <v>67.150000000000006</v>
      </c>
    </row>
    <row r="193" spans="1:10">
      <c r="A193" s="64" t="s">
        <v>220</v>
      </c>
      <c r="B193" s="64" t="s">
        <v>11</v>
      </c>
      <c r="C193" s="64" t="s">
        <v>50</v>
      </c>
      <c r="D193" s="64" t="s">
        <v>13</v>
      </c>
      <c r="E193" s="64" t="s">
        <v>14</v>
      </c>
      <c r="F193" s="64" t="s">
        <v>20</v>
      </c>
      <c r="G193" s="67">
        <v>45118</v>
      </c>
      <c r="H193" s="64">
        <v>468</v>
      </c>
      <c r="I193" s="64">
        <v>88.38</v>
      </c>
      <c r="J193" s="64">
        <v>110.97</v>
      </c>
    </row>
    <row r="194" spans="1:10">
      <c r="A194" s="64" t="s">
        <v>221</v>
      </c>
      <c r="B194" s="64" t="s">
        <v>22</v>
      </c>
      <c r="C194" s="64" t="s">
        <v>12</v>
      </c>
      <c r="D194" s="64" t="s">
        <v>27</v>
      </c>
      <c r="E194" s="64" t="s">
        <v>14</v>
      </c>
      <c r="F194" s="64" t="s">
        <v>28</v>
      </c>
      <c r="G194" s="67">
        <v>45119</v>
      </c>
      <c r="H194" s="64">
        <v>36</v>
      </c>
      <c r="I194" s="64">
        <v>323.08</v>
      </c>
      <c r="J194" s="64">
        <v>371.47</v>
      </c>
    </row>
    <row r="195" spans="1:10">
      <c r="A195" s="64" t="s">
        <v>222</v>
      </c>
      <c r="B195" s="64" t="s">
        <v>11</v>
      </c>
      <c r="C195" s="64" t="s">
        <v>26</v>
      </c>
      <c r="D195" s="64" t="s">
        <v>23</v>
      </c>
      <c r="E195" s="64" t="s">
        <v>24</v>
      </c>
      <c r="F195" s="64" t="s">
        <v>20</v>
      </c>
      <c r="G195" s="67">
        <v>45120</v>
      </c>
      <c r="H195" s="64">
        <v>204</v>
      </c>
      <c r="I195" s="64">
        <v>380.88</v>
      </c>
      <c r="J195" s="64">
        <v>271.04000000000002</v>
      </c>
    </row>
    <row r="196" spans="1:10">
      <c r="A196" s="64" t="s">
        <v>223</v>
      </c>
      <c r="B196" s="64" t="s">
        <v>11</v>
      </c>
      <c r="C196" s="64" t="s">
        <v>26</v>
      </c>
      <c r="D196" s="64" t="s">
        <v>23</v>
      </c>
      <c r="E196" s="64" t="s">
        <v>14</v>
      </c>
      <c r="F196" s="64" t="s">
        <v>20</v>
      </c>
      <c r="G196" s="67">
        <v>45121</v>
      </c>
      <c r="H196" s="64">
        <v>346</v>
      </c>
      <c r="I196" s="64">
        <v>252.72</v>
      </c>
      <c r="J196" s="64">
        <v>199.43</v>
      </c>
    </row>
    <row r="197" spans="1:10">
      <c r="A197" s="64" t="s">
        <v>224</v>
      </c>
      <c r="B197" s="64" t="s">
        <v>48</v>
      </c>
      <c r="C197" s="64" t="s">
        <v>50</v>
      </c>
      <c r="D197" s="64" t="s">
        <v>13</v>
      </c>
      <c r="E197" s="64" t="s">
        <v>24</v>
      </c>
      <c r="F197" s="64" t="s">
        <v>15</v>
      </c>
      <c r="G197" s="67">
        <v>45122</v>
      </c>
      <c r="H197" s="64">
        <v>391</v>
      </c>
      <c r="I197" s="64">
        <v>273.47000000000003</v>
      </c>
      <c r="J197" s="64">
        <v>7.06</v>
      </c>
    </row>
    <row r="198" spans="1:10">
      <c r="A198" s="64" t="s">
        <v>225</v>
      </c>
      <c r="B198" s="64" t="s">
        <v>48</v>
      </c>
      <c r="C198" s="64" t="s">
        <v>12</v>
      </c>
      <c r="D198" s="64" t="s">
        <v>13</v>
      </c>
      <c r="E198" s="64" t="s">
        <v>14</v>
      </c>
      <c r="F198" s="64" t="s">
        <v>28</v>
      </c>
      <c r="G198" s="67">
        <v>45123</v>
      </c>
      <c r="H198" s="64">
        <v>245</v>
      </c>
      <c r="I198" s="64">
        <v>475.98</v>
      </c>
      <c r="J198" s="64">
        <v>396.98</v>
      </c>
    </row>
    <row r="199" spans="1:10">
      <c r="A199" s="64" t="s">
        <v>226</v>
      </c>
      <c r="B199" s="64" t="s">
        <v>17</v>
      </c>
      <c r="C199" s="64" t="s">
        <v>18</v>
      </c>
      <c r="D199" s="64" t="s">
        <v>27</v>
      </c>
      <c r="E199" s="64" t="s">
        <v>24</v>
      </c>
      <c r="F199" s="64" t="s">
        <v>20</v>
      </c>
      <c r="G199" s="67">
        <v>45124</v>
      </c>
      <c r="H199" s="64">
        <v>449</v>
      </c>
      <c r="I199" s="64">
        <v>424.35</v>
      </c>
      <c r="J199" s="64">
        <v>269.24</v>
      </c>
    </row>
    <row r="200" spans="1:10">
      <c r="A200" s="64" t="s">
        <v>227</v>
      </c>
      <c r="B200" s="64" t="s">
        <v>22</v>
      </c>
      <c r="C200" s="64" t="s">
        <v>50</v>
      </c>
      <c r="D200" s="64" t="s">
        <v>19</v>
      </c>
      <c r="E200" s="64" t="s">
        <v>24</v>
      </c>
      <c r="F200" s="64" t="s">
        <v>28</v>
      </c>
      <c r="G200" s="67">
        <v>45125</v>
      </c>
      <c r="H200" s="64">
        <v>101</v>
      </c>
      <c r="I200" s="64">
        <v>457.55</v>
      </c>
      <c r="J200" s="64">
        <v>128.13999999999999</v>
      </c>
    </row>
    <row r="201" spans="1:10">
      <c r="A201" s="64" t="s">
        <v>228</v>
      </c>
      <c r="B201" s="64" t="s">
        <v>11</v>
      </c>
      <c r="C201" s="64" t="s">
        <v>26</v>
      </c>
      <c r="D201" s="64" t="s">
        <v>27</v>
      </c>
      <c r="E201" s="64" t="s">
        <v>14</v>
      </c>
      <c r="F201" s="64" t="s">
        <v>20</v>
      </c>
      <c r="G201" s="67">
        <v>45126</v>
      </c>
      <c r="I201" s="64">
        <v>407.81</v>
      </c>
      <c r="J201" s="64">
        <v>351.95</v>
      </c>
    </row>
    <row r="202" spans="1:10">
      <c r="A202" s="64" t="s">
        <v>229</v>
      </c>
      <c r="B202" s="64" t="s">
        <v>11</v>
      </c>
      <c r="C202" s="64" t="s">
        <v>26</v>
      </c>
      <c r="D202" s="64" t="s">
        <v>13</v>
      </c>
      <c r="E202" s="64" t="s">
        <v>24</v>
      </c>
      <c r="F202" s="64" t="s">
        <v>20</v>
      </c>
      <c r="G202" s="67">
        <v>45127</v>
      </c>
      <c r="H202" s="64">
        <v>30</v>
      </c>
      <c r="I202" s="64">
        <v>58.91</v>
      </c>
      <c r="J202" s="64">
        <v>104.86</v>
      </c>
    </row>
    <row r="203" spans="1:10">
      <c r="A203" s="64" t="s">
        <v>230</v>
      </c>
      <c r="B203" s="64" t="s">
        <v>17</v>
      </c>
      <c r="C203" s="64" t="s">
        <v>50</v>
      </c>
      <c r="D203" s="64" t="s">
        <v>13</v>
      </c>
      <c r="E203" s="64" t="s">
        <v>14</v>
      </c>
      <c r="F203" s="64" t="s">
        <v>28</v>
      </c>
      <c r="G203" s="67">
        <v>45128</v>
      </c>
      <c r="H203" s="64">
        <v>312</v>
      </c>
      <c r="I203" s="64">
        <v>78.75</v>
      </c>
      <c r="J203" s="64">
        <v>218.52</v>
      </c>
    </row>
    <row r="204" spans="1:10">
      <c r="A204" s="64" t="s">
        <v>231</v>
      </c>
      <c r="B204" s="64" t="s">
        <v>11</v>
      </c>
      <c r="C204" s="64" t="s">
        <v>12</v>
      </c>
      <c r="D204" s="64" t="s">
        <v>42</v>
      </c>
      <c r="E204" s="64" t="s">
        <v>24</v>
      </c>
      <c r="F204" s="64" t="s">
        <v>20</v>
      </c>
      <c r="G204" s="67">
        <v>45129</v>
      </c>
      <c r="H204" s="64">
        <v>473</v>
      </c>
      <c r="I204" s="64">
        <v>265.68</v>
      </c>
      <c r="J204" s="64">
        <v>255.16</v>
      </c>
    </row>
    <row r="205" spans="1:10">
      <c r="A205" s="64" t="s">
        <v>232</v>
      </c>
      <c r="B205" s="64" t="s">
        <v>22</v>
      </c>
      <c r="C205" s="64" t="s">
        <v>26</v>
      </c>
      <c r="D205" s="64" t="s">
        <v>13</v>
      </c>
      <c r="E205" s="64" t="s">
        <v>14</v>
      </c>
      <c r="F205" s="64" t="s">
        <v>28</v>
      </c>
      <c r="G205" s="67">
        <v>45130</v>
      </c>
      <c r="H205" s="64">
        <v>366</v>
      </c>
      <c r="I205" s="64">
        <v>126.8</v>
      </c>
      <c r="J205" s="64">
        <v>89.98</v>
      </c>
    </row>
    <row r="206" spans="1:10">
      <c r="A206" s="64" t="s">
        <v>233</v>
      </c>
      <c r="B206" s="64" t="s">
        <v>17</v>
      </c>
      <c r="C206" s="64" t="s">
        <v>12</v>
      </c>
      <c r="D206" s="64" t="s">
        <v>42</v>
      </c>
      <c r="E206" s="64" t="s">
        <v>14</v>
      </c>
      <c r="F206" s="64" t="s">
        <v>20</v>
      </c>
      <c r="G206" s="67">
        <v>45131</v>
      </c>
      <c r="H206" s="64">
        <v>452</v>
      </c>
      <c r="I206" s="64">
        <v>240.96</v>
      </c>
      <c r="J206" s="64">
        <v>391.4</v>
      </c>
    </row>
    <row r="207" spans="1:10">
      <c r="A207" s="64" t="s">
        <v>234</v>
      </c>
      <c r="B207" s="64" t="s">
        <v>22</v>
      </c>
      <c r="C207" s="64" t="s">
        <v>26</v>
      </c>
      <c r="D207" s="64" t="s">
        <v>19</v>
      </c>
      <c r="E207" s="64" t="s">
        <v>24</v>
      </c>
      <c r="F207" s="64" t="s">
        <v>15</v>
      </c>
      <c r="G207" s="67">
        <v>45132</v>
      </c>
      <c r="H207" s="64">
        <v>93</v>
      </c>
      <c r="I207" s="64">
        <v>200.21</v>
      </c>
      <c r="J207" s="64">
        <v>299.77999999999997</v>
      </c>
    </row>
    <row r="208" spans="1:10">
      <c r="A208" s="64" t="s">
        <v>235</v>
      </c>
      <c r="B208" s="64" t="s">
        <v>17</v>
      </c>
      <c r="C208" s="64" t="s">
        <v>26</v>
      </c>
      <c r="D208" s="64" t="s">
        <v>27</v>
      </c>
      <c r="E208" s="64" t="s">
        <v>14</v>
      </c>
      <c r="F208" s="64" t="s">
        <v>28</v>
      </c>
      <c r="G208" s="67">
        <v>45133</v>
      </c>
      <c r="H208" s="64">
        <v>271</v>
      </c>
      <c r="I208" s="64">
        <v>276.95999999999998</v>
      </c>
      <c r="J208" s="64">
        <v>224.01</v>
      </c>
    </row>
    <row r="209" spans="1:10">
      <c r="A209" s="64" t="s">
        <v>236</v>
      </c>
      <c r="B209" s="64" t="s">
        <v>17</v>
      </c>
      <c r="C209" s="64" t="s">
        <v>31</v>
      </c>
      <c r="D209" s="64" t="s">
        <v>27</v>
      </c>
      <c r="E209" s="64" t="s">
        <v>14</v>
      </c>
      <c r="F209" s="64" t="s">
        <v>20</v>
      </c>
      <c r="G209" s="67">
        <v>45134</v>
      </c>
      <c r="H209" s="64">
        <v>156</v>
      </c>
      <c r="I209" s="64">
        <v>374.7</v>
      </c>
      <c r="J209" s="64">
        <v>73.88</v>
      </c>
    </row>
    <row r="210" spans="1:10">
      <c r="A210" s="64" t="s">
        <v>237</v>
      </c>
      <c r="B210" s="64" t="s">
        <v>48</v>
      </c>
      <c r="C210" s="64" t="s">
        <v>26</v>
      </c>
      <c r="D210" s="64" t="s">
        <v>42</v>
      </c>
      <c r="E210" s="64" t="s">
        <v>24</v>
      </c>
      <c r="F210" s="64" t="s">
        <v>20</v>
      </c>
      <c r="G210" s="67">
        <v>45135</v>
      </c>
      <c r="H210" s="64">
        <v>450</v>
      </c>
      <c r="I210" s="64">
        <v>359.17</v>
      </c>
      <c r="J210" s="64">
        <v>23.44</v>
      </c>
    </row>
    <row r="211" spans="1:10">
      <c r="A211" s="64" t="s">
        <v>238</v>
      </c>
      <c r="B211" s="64" t="s">
        <v>22</v>
      </c>
      <c r="C211" s="64" t="s">
        <v>18</v>
      </c>
      <c r="D211" s="64" t="s">
        <v>27</v>
      </c>
      <c r="E211" s="64" t="s">
        <v>14</v>
      </c>
      <c r="F211" s="64" t="s">
        <v>15</v>
      </c>
      <c r="G211" s="67">
        <v>45136</v>
      </c>
      <c r="H211" s="64">
        <v>462</v>
      </c>
      <c r="I211" s="64">
        <v>263.01</v>
      </c>
      <c r="J211" s="64">
        <v>129.38</v>
      </c>
    </row>
    <row r="212" spans="1:10">
      <c r="A212" s="64" t="s">
        <v>239</v>
      </c>
      <c r="B212" s="64" t="s">
        <v>11</v>
      </c>
      <c r="C212" s="64" t="s">
        <v>50</v>
      </c>
      <c r="E212" s="64" t="s">
        <v>14</v>
      </c>
      <c r="F212" s="64" t="s">
        <v>28</v>
      </c>
      <c r="G212" s="67">
        <v>45137</v>
      </c>
      <c r="H212" s="64">
        <v>396</v>
      </c>
      <c r="I212" s="64">
        <v>412.08</v>
      </c>
      <c r="J212" s="64">
        <v>301.77</v>
      </c>
    </row>
    <row r="213" spans="1:10">
      <c r="A213" s="64" t="s">
        <v>240</v>
      </c>
      <c r="B213" s="64" t="s">
        <v>11</v>
      </c>
      <c r="C213" s="64" t="s">
        <v>50</v>
      </c>
      <c r="D213" s="64" t="s">
        <v>23</v>
      </c>
      <c r="E213" s="64" t="s">
        <v>24</v>
      </c>
      <c r="F213" s="64" t="s">
        <v>20</v>
      </c>
      <c r="G213" s="67">
        <v>45138</v>
      </c>
      <c r="H213" s="64">
        <v>266</v>
      </c>
      <c r="I213" s="64">
        <v>218.28</v>
      </c>
      <c r="J213" s="64">
        <v>109.19</v>
      </c>
    </row>
    <row r="214" spans="1:10">
      <c r="A214" s="64" t="s">
        <v>241</v>
      </c>
      <c r="B214" s="64" t="s">
        <v>22</v>
      </c>
      <c r="C214" s="64" t="s">
        <v>12</v>
      </c>
      <c r="D214" s="64" t="s">
        <v>42</v>
      </c>
      <c r="E214" s="64" t="s">
        <v>24</v>
      </c>
      <c r="F214" s="64" t="s">
        <v>15</v>
      </c>
      <c r="G214" s="67">
        <v>45139</v>
      </c>
      <c r="H214" s="64">
        <v>67</v>
      </c>
      <c r="I214" s="64">
        <v>448.87</v>
      </c>
      <c r="J214" s="64">
        <v>216.74</v>
      </c>
    </row>
    <row r="215" spans="1:10">
      <c r="A215" s="64" t="s">
        <v>242</v>
      </c>
      <c r="B215" s="64" t="s">
        <v>11</v>
      </c>
      <c r="C215" s="64" t="s">
        <v>26</v>
      </c>
      <c r="D215" s="64" t="s">
        <v>27</v>
      </c>
      <c r="E215" s="64" t="s">
        <v>14</v>
      </c>
      <c r="F215" s="64" t="s">
        <v>20</v>
      </c>
      <c r="G215" s="67">
        <v>45140</v>
      </c>
      <c r="H215" s="64">
        <v>389</v>
      </c>
      <c r="I215" s="64">
        <v>40.28</v>
      </c>
      <c r="J215" s="64">
        <v>291.72000000000003</v>
      </c>
    </row>
    <row r="216" spans="1:10">
      <c r="A216" s="64" t="s">
        <v>243</v>
      </c>
      <c r="B216" s="64" t="s">
        <v>11</v>
      </c>
      <c r="C216" s="64" t="s">
        <v>18</v>
      </c>
      <c r="D216" s="64" t="s">
        <v>42</v>
      </c>
      <c r="E216" s="64" t="s">
        <v>14</v>
      </c>
      <c r="F216" s="64" t="s">
        <v>28</v>
      </c>
      <c r="G216" s="67">
        <v>45141</v>
      </c>
      <c r="H216" s="64">
        <v>431</v>
      </c>
      <c r="I216" s="64">
        <v>477.56</v>
      </c>
      <c r="J216" s="64">
        <v>44.96</v>
      </c>
    </row>
    <row r="217" spans="1:10">
      <c r="A217" s="64" t="s">
        <v>244</v>
      </c>
      <c r="B217" s="64" t="s">
        <v>22</v>
      </c>
      <c r="C217" s="64" t="s">
        <v>12</v>
      </c>
      <c r="D217" s="64" t="s">
        <v>42</v>
      </c>
      <c r="E217" s="64" t="s">
        <v>24</v>
      </c>
      <c r="F217" s="64" t="s">
        <v>20</v>
      </c>
      <c r="G217" s="67">
        <v>45142</v>
      </c>
      <c r="H217" s="64">
        <v>24</v>
      </c>
      <c r="I217" s="64">
        <v>329.07</v>
      </c>
      <c r="J217" s="64">
        <v>274.75</v>
      </c>
    </row>
    <row r="218" spans="1:10">
      <c r="A218" s="64" t="s">
        <v>245</v>
      </c>
      <c r="B218" s="64" t="s">
        <v>17</v>
      </c>
      <c r="C218" s="64" t="s">
        <v>31</v>
      </c>
      <c r="D218" s="64" t="s">
        <v>23</v>
      </c>
      <c r="E218" s="64" t="s">
        <v>24</v>
      </c>
      <c r="F218" s="64" t="s">
        <v>20</v>
      </c>
      <c r="G218" s="67">
        <v>45143</v>
      </c>
      <c r="H218" s="64">
        <v>171</v>
      </c>
      <c r="I218" s="64">
        <v>193.14</v>
      </c>
      <c r="J218" s="64">
        <v>38.56</v>
      </c>
    </row>
    <row r="219" spans="1:10">
      <c r="A219" s="64" t="s">
        <v>246</v>
      </c>
      <c r="B219" s="64" t="s">
        <v>22</v>
      </c>
      <c r="C219" s="64" t="s">
        <v>12</v>
      </c>
      <c r="D219" s="64" t="s">
        <v>13</v>
      </c>
      <c r="E219" s="64" t="s">
        <v>14</v>
      </c>
      <c r="F219" s="64" t="s">
        <v>20</v>
      </c>
      <c r="G219" s="67">
        <v>45144</v>
      </c>
      <c r="H219" s="64">
        <v>454</v>
      </c>
      <c r="I219" s="64">
        <v>102.59</v>
      </c>
      <c r="J219" s="64">
        <v>386.12</v>
      </c>
    </row>
    <row r="220" spans="1:10">
      <c r="A220" s="64" t="s">
        <v>247</v>
      </c>
      <c r="B220" s="64" t="s">
        <v>17</v>
      </c>
      <c r="C220" s="64" t="s">
        <v>12</v>
      </c>
      <c r="D220" s="64" t="s">
        <v>42</v>
      </c>
      <c r="E220" s="64" t="s">
        <v>24</v>
      </c>
      <c r="F220" s="64" t="s">
        <v>20</v>
      </c>
      <c r="G220" s="67">
        <v>45145</v>
      </c>
      <c r="H220" s="64">
        <v>172</v>
      </c>
      <c r="I220" s="64">
        <v>242.2</v>
      </c>
      <c r="J220" s="64">
        <v>196.38</v>
      </c>
    </row>
    <row r="221" spans="1:10">
      <c r="A221" s="64" t="s">
        <v>248</v>
      </c>
      <c r="B221" s="64" t="s">
        <v>11</v>
      </c>
      <c r="C221" s="64" t="s">
        <v>26</v>
      </c>
      <c r="D221" s="64" t="s">
        <v>27</v>
      </c>
      <c r="E221" s="64" t="s">
        <v>14</v>
      </c>
      <c r="F221" s="64" t="s">
        <v>15</v>
      </c>
      <c r="G221" s="67">
        <v>45146</v>
      </c>
      <c r="H221" s="64">
        <v>329</v>
      </c>
      <c r="I221" s="64">
        <v>101.31</v>
      </c>
      <c r="J221" s="64">
        <v>61.97</v>
      </c>
    </row>
    <row r="222" spans="1:10">
      <c r="A222" s="64" t="s">
        <v>249</v>
      </c>
      <c r="B222" s="64" t="s">
        <v>11</v>
      </c>
      <c r="C222" s="64" t="s">
        <v>31</v>
      </c>
      <c r="D222" s="64" t="s">
        <v>19</v>
      </c>
      <c r="E222" s="64" t="s">
        <v>14</v>
      </c>
      <c r="F222" s="64" t="s">
        <v>15</v>
      </c>
      <c r="G222" s="67">
        <v>45147</v>
      </c>
      <c r="H222" s="64">
        <v>290</v>
      </c>
      <c r="I222" s="64">
        <v>87.33</v>
      </c>
      <c r="J222" s="64">
        <v>138.27000000000001</v>
      </c>
    </row>
    <row r="223" spans="1:10">
      <c r="A223" s="64" t="s">
        <v>250</v>
      </c>
      <c r="C223" s="64" t="s">
        <v>12</v>
      </c>
      <c r="D223" s="64" t="s">
        <v>42</v>
      </c>
      <c r="E223" s="64" t="s">
        <v>14</v>
      </c>
      <c r="F223" s="64" t="s">
        <v>28</v>
      </c>
      <c r="G223" s="67">
        <v>45148</v>
      </c>
      <c r="H223" s="64">
        <v>289</v>
      </c>
      <c r="I223" s="64">
        <v>310.58999999999997</v>
      </c>
      <c r="J223" s="64">
        <v>166.54</v>
      </c>
    </row>
    <row r="224" spans="1:10">
      <c r="A224" s="64" t="s">
        <v>251</v>
      </c>
      <c r="B224" s="64" t="s">
        <v>48</v>
      </c>
      <c r="C224" s="64" t="s">
        <v>18</v>
      </c>
      <c r="D224" s="64" t="s">
        <v>42</v>
      </c>
      <c r="E224" s="64" t="s">
        <v>14</v>
      </c>
      <c r="F224" s="64" t="s">
        <v>15</v>
      </c>
      <c r="G224" s="67">
        <v>45149</v>
      </c>
      <c r="H224" s="64">
        <v>21</v>
      </c>
      <c r="I224" s="64">
        <v>263.93</v>
      </c>
      <c r="J224" s="64">
        <v>303.76</v>
      </c>
    </row>
    <row r="225" spans="1:10">
      <c r="A225" s="64" t="s">
        <v>252</v>
      </c>
      <c r="B225" s="64" t="s">
        <v>17</v>
      </c>
      <c r="C225" s="64" t="s">
        <v>18</v>
      </c>
      <c r="D225" s="64" t="s">
        <v>23</v>
      </c>
      <c r="E225" s="64" t="s">
        <v>14</v>
      </c>
      <c r="F225" s="64" t="s">
        <v>15</v>
      </c>
      <c r="G225" s="67">
        <v>45150</v>
      </c>
      <c r="H225" s="64">
        <v>283</v>
      </c>
      <c r="I225" s="64">
        <v>336.7</v>
      </c>
      <c r="J225" s="64">
        <v>297.88</v>
      </c>
    </row>
    <row r="226" spans="1:10">
      <c r="A226" s="64" t="s">
        <v>253</v>
      </c>
      <c r="B226" s="64" t="s">
        <v>48</v>
      </c>
      <c r="C226" s="64" t="s">
        <v>50</v>
      </c>
      <c r="D226" s="64" t="s">
        <v>13</v>
      </c>
      <c r="E226" s="64" t="s">
        <v>24</v>
      </c>
      <c r="F226" s="64" t="s">
        <v>28</v>
      </c>
      <c r="G226" s="67">
        <v>45151</v>
      </c>
      <c r="H226" s="64">
        <v>280</v>
      </c>
      <c r="I226" s="64">
        <v>465.15</v>
      </c>
      <c r="J226" s="64">
        <v>245.55</v>
      </c>
    </row>
    <row r="227" spans="1:10">
      <c r="A227" s="64" t="s">
        <v>254</v>
      </c>
      <c r="B227" s="64" t="s">
        <v>48</v>
      </c>
      <c r="C227" s="64" t="s">
        <v>31</v>
      </c>
      <c r="D227" s="64" t="s">
        <v>19</v>
      </c>
      <c r="E227" s="64" t="s">
        <v>24</v>
      </c>
      <c r="F227" s="64" t="s">
        <v>15</v>
      </c>
      <c r="G227" s="67">
        <v>45152</v>
      </c>
      <c r="H227" s="64">
        <v>217</v>
      </c>
      <c r="I227" s="64">
        <v>268.47000000000003</v>
      </c>
      <c r="J227" s="64">
        <v>44.16</v>
      </c>
    </row>
    <row r="228" spans="1:10">
      <c r="A228" s="64" t="s">
        <v>255</v>
      </c>
      <c r="B228" s="64" t="s">
        <v>22</v>
      </c>
      <c r="C228" s="64" t="s">
        <v>31</v>
      </c>
      <c r="D228" s="64" t="s">
        <v>27</v>
      </c>
      <c r="E228" s="64" t="s">
        <v>24</v>
      </c>
      <c r="F228" s="64" t="s">
        <v>15</v>
      </c>
      <c r="G228" s="67">
        <v>45153</v>
      </c>
      <c r="H228" s="64">
        <v>36</v>
      </c>
      <c r="I228" s="64">
        <v>292.56</v>
      </c>
      <c r="J228" s="64">
        <v>62.32</v>
      </c>
    </row>
    <row r="229" spans="1:10">
      <c r="A229" s="64" t="s">
        <v>256</v>
      </c>
      <c r="B229" s="64" t="s">
        <v>48</v>
      </c>
      <c r="C229" s="64" t="s">
        <v>50</v>
      </c>
      <c r="D229" s="64" t="s">
        <v>19</v>
      </c>
      <c r="E229" s="64" t="s">
        <v>24</v>
      </c>
      <c r="F229" s="64" t="s">
        <v>28</v>
      </c>
      <c r="G229" s="67">
        <v>45154</v>
      </c>
      <c r="I229" s="64">
        <v>49.37</v>
      </c>
      <c r="J229" s="64">
        <v>39.32</v>
      </c>
    </row>
    <row r="230" spans="1:10">
      <c r="A230" s="64" t="s">
        <v>257</v>
      </c>
      <c r="B230" s="64" t="s">
        <v>22</v>
      </c>
      <c r="C230" s="64" t="s">
        <v>12</v>
      </c>
      <c r="D230" s="64" t="s">
        <v>27</v>
      </c>
      <c r="E230" s="64" t="s">
        <v>14</v>
      </c>
      <c r="F230" s="64" t="s">
        <v>28</v>
      </c>
      <c r="G230" s="67">
        <v>45155</v>
      </c>
      <c r="H230" s="64">
        <v>69</v>
      </c>
      <c r="I230" s="64">
        <v>360.23</v>
      </c>
      <c r="J230" s="64">
        <v>231.71</v>
      </c>
    </row>
    <row r="231" spans="1:10">
      <c r="A231" s="64" t="s">
        <v>258</v>
      </c>
      <c r="B231" s="64" t="s">
        <v>22</v>
      </c>
      <c r="C231" s="64" t="s">
        <v>31</v>
      </c>
      <c r="D231" s="64" t="s">
        <v>13</v>
      </c>
      <c r="E231" s="64" t="s">
        <v>14</v>
      </c>
      <c r="F231" s="64" t="s">
        <v>28</v>
      </c>
      <c r="G231" s="67">
        <v>45156</v>
      </c>
      <c r="H231" s="64">
        <v>439</v>
      </c>
      <c r="I231" s="64">
        <v>202.95</v>
      </c>
      <c r="J231" s="64">
        <v>351.1</v>
      </c>
    </row>
    <row r="232" spans="1:10">
      <c r="A232" s="64" t="s">
        <v>259</v>
      </c>
      <c r="B232" s="64" t="s">
        <v>48</v>
      </c>
      <c r="C232" s="64" t="s">
        <v>18</v>
      </c>
      <c r="D232" s="64" t="s">
        <v>27</v>
      </c>
      <c r="E232" s="64" t="s">
        <v>14</v>
      </c>
      <c r="F232" s="64" t="s">
        <v>20</v>
      </c>
      <c r="G232" s="67">
        <v>45157</v>
      </c>
      <c r="H232" s="64">
        <v>482</v>
      </c>
      <c r="I232" s="64">
        <v>488.48</v>
      </c>
      <c r="J232" s="64">
        <v>174.65</v>
      </c>
    </row>
    <row r="233" spans="1:10">
      <c r="A233" s="64" t="s">
        <v>260</v>
      </c>
      <c r="B233" s="64" t="s">
        <v>17</v>
      </c>
      <c r="C233" s="64" t="s">
        <v>18</v>
      </c>
      <c r="D233" s="64" t="s">
        <v>23</v>
      </c>
      <c r="E233" s="64" t="s">
        <v>14</v>
      </c>
      <c r="F233" s="64" t="s">
        <v>20</v>
      </c>
      <c r="G233" s="67">
        <v>45158</v>
      </c>
      <c r="H233" s="64">
        <v>154</v>
      </c>
      <c r="I233" s="64">
        <v>412.47</v>
      </c>
      <c r="J233" s="64">
        <v>66.02</v>
      </c>
    </row>
    <row r="234" spans="1:10">
      <c r="A234" s="64" t="s">
        <v>261</v>
      </c>
      <c r="B234" s="64" t="s">
        <v>17</v>
      </c>
      <c r="C234" s="64" t="s">
        <v>26</v>
      </c>
      <c r="D234" s="64" t="s">
        <v>23</v>
      </c>
      <c r="E234" s="64" t="s">
        <v>24</v>
      </c>
      <c r="F234" s="64" t="s">
        <v>28</v>
      </c>
      <c r="G234" s="67">
        <v>45159</v>
      </c>
      <c r="H234" s="64">
        <v>102</v>
      </c>
      <c r="I234" s="64">
        <v>263.63</v>
      </c>
      <c r="J234" s="64">
        <v>224.1</v>
      </c>
    </row>
    <row r="235" spans="1:10">
      <c r="A235" s="64" t="s">
        <v>262</v>
      </c>
      <c r="B235" s="64" t="s">
        <v>17</v>
      </c>
      <c r="C235" s="64" t="s">
        <v>31</v>
      </c>
      <c r="D235" s="64" t="s">
        <v>23</v>
      </c>
      <c r="E235" s="64" t="s">
        <v>14</v>
      </c>
      <c r="F235" s="64" t="s">
        <v>28</v>
      </c>
      <c r="G235" s="67">
        <v>45160</v>
      </c>
      <c r="H235" s="64">
        <v>318</v>
      </c>
      <c r="I235" s="64">
        <v>66</v>
      </c>
      <c r="J235" s="64">
        <v>325.08</v>
      </c>
    </row>
    <row r="236" spans="1:10">
      <c r="A236" s="64" t="s">
        <v>263</v>
      </c>
      <c r="B236" s="64" t="s">
        <v>17</v>
      </c>
      <c r="C236" s="64" t="s">
        <v>12</v>
      </c>
      <c r="D236" s="64" t="s">
        <v>23</v>
      </c>
      <c r="E236" s="64" t="s">
        <v>14</v>
      </c>
      <c r="F236" s="64" t="s">
        <v>28</v>
      </c>
      <c r="G236" s="67">
        <v>45161</v>
      </c>
      <c r="H236" s="64">
        <v>17</v>
      </c>
      <c r="I236" s="64">
        <v>430.41</v>
      </c>
      <c r="J236" s="64">
        <v>297.2</v>
      </c>
    </row>
    <row r="237" spans="1:10">
      <c r="A237" s="64" t="s">
        <v>264</v>
      </c>
      <c r="B237" s="64" t="s">
        <v>17</v>
      </c>
      <c r="C237" s="64" t="s">
        <v>50</v>
      </c>
      <c r="D237" s="64" t="s">
        <v>19</v>
      </c>
      <c r="E237" s="64" t="s">
        <v>24</v>
      </c>
      <c r="F237" s="64" t="s">
        <v>20</v>
      </c>
      <c r="G237" s="67">
        <v>45162</v>
      </c>
      <c r="H237" s="64">
        <v>88</v>
      </c>
      <c r="I237" s="64">
        <v>400.89</v>
      </c>
      <c r="J237" s="64">
        <v>352.82</v>
      </c>
    </row>
    <row r="238" spans="1:10">
      <c r="A238" s="64" t="s">
        <v>265</v>
      </c>
      <c r="B238" s="64" t="s">
        <v>48</v>
      </c>
      <c r="C238" s="64" t="s">
        <v>50</v>
      </c>
      <c r="D238" s="64" t="s">
        <v>13</v>
      </c>
      <c r="E238" s="64" t="s">
        <v>24</v>
      </c>
      <c r="F238" s="64" t="s">
        <v>20</v>
      </c>
      <c r="G238" s="67">
        <v>45163</v>
      </c>
      <c r="H238" s="64">
        <v>36</v>
      </c>
      <c r="I238" s="64">
        <v>96.37</v>
      </c>
      <c r="J238" s="64">
        <v>112.61</v>
      </c>
    </row>
    <row r="239" spans="1:10">
      <c r="A239" s="64" t="s">
        <v>266</v>
      </c>
      <c r="B239" s="64" t="s">
        <v>48</v>
      </c>
      <c r="C239" s="64" t="s">
        <v>12</v>
      </c>
      <c r="D239" s="64" t="s">
        <v>27</v>
      </c>
      <c r="E239" s="64" t="s">
        <v>24</v>
      </c>
      <c r="F239" s="64" t="s">
        <v>15</v>
      </c>
      <c r="G239" s="67">
        <v>45164</v>
      </c>
      <c r="H239" s="64">
        <v>183</v>
      </c>
      <c r="I239" s="64">
        <v>151.16</v>
      </c>
      <c r="J239" s="64">
        <v>79.19</v>
      </c>
    </row>
    <row r="240" spans="1:10">
      <c r="A240" s="64" t="s">
        <v>267</v>
      </c>
      <c r="B240" s="64" t="s">
        <v>11</v>
      </c>
      <c r="C240" s="64" t="s">
        <v>26</v>
      </c>
      <c r="D240" s="64" t="s">
        <v>27</v>
      </c>
      <c r="E240" s="64" t="s">
        <v>24</v>
      </c>
      <c r="F240" s="64" t="s">
        <v>15</v>
      </c>
      <c r="G240" s="67">
        <v>45165</v>
      </c>
      <c r="H240" s="64">
        <v>59</v>
      </c>
      <c r="I240" s="64">
        <v>397.74</v>
      </c>
      <c r="J240" s="64">
        <v>352.17</v>
      </c>
    </row>
    <row r="241" spans="1:10">
      <c r="A241" s="64" t="s">
        <v>268</v>
      </c>
      <c r="B241" s="64" t="s">
        <v>17</v>
      </c>
      <c r="C241" s="64" t="s">
        <v>50</v>
      </c>
      <c r="D241" s="64" t="s">
        <v>23</v>
      </c>
      <c r="E241" s="64" t="s">
        <v>14</v>
      </c>
      <c r="F241" s="64" t="s">
        <v>28</v>
      </c>
      <c r="G241" s="67">
        <v>45166</v>
      </c>
      <c r="H241" s="64">
        <v>208</v>
      </c>
      <c r="I241" s="64">
        <v>96.69</v>
      </c>
      <c r="J241" s="64">
        <v>263.70999999999998</v>
      </c>
    </row>
    <row r="242" spans="1:10">
      <c r="A242" s="64" t="s">
        <v>269</v>
      </c>
      <c r="B242" s="64" t="s">
        <v>48</v>
      </c>
      <c r="C242" s="64" t="s">
        <v>31</v>
      </c>
      <c r="D242" s="64" t="s">
        <v>23</v>
      </c>
      <c r="E242" s="64" t="s">
        <v>14</v>
      </c>
      <c r="F242" s="64" t="s">
        <v>20</v>
      </c>
      <c r="G242" s="67">
        <v>45167</v>
      </c>
      <c r="H242" s="64">
        <v>396</v>
      </c>
      <c r="I242" s="64">
        <v>459.29</v>
      </c>
      <c r="J242" s="64">
        <v>125.75</v>
      </c>
    </row>
    <row r="243" spans="1:10">
      <c r="A243" s="64" t="s">
        <v>270</v>
      </c>
      <c r="B243" s="64" t="s">
        <v>11</v>
      </c>
      <c r="C243" s="64" t="s">
        <v>26</v>
      </c>
      <c r="D243" s="64" t="s">
        <v>42</v>
      </c>
      <c r="E243" s="64" t="s">
        <v>24</v>
      </c>
      <c r="F243" s="64" t="s">
        <v>20</v>
      </c>
      <c r="G243" s="67">
        <v>45168</v>
      </c>
      <c r="H243" s="64">
        <v>358</v>
      </c>
      <c r="I243" s="64">
        <v>215.14</v>
      </c>
      <c r="J243" s="64">
        <v>297.45</v>
      </c>
    </row>
    <row r="244" spans="1:10">
      <c r="A244" s="64" t="s">
        <v>271</v>
      </c>
      <c r="B244" s="64" t="s">
        <v>17</v>
      </c>
      <c r="C244" s="64" t="s">
        <v>31</v>
      </c>
      <c r="D244" s="64" t="s">
        <v>13</v>
      </c>
      <c r="E244" s="64" t="s">
        <v>14</v>
      </c>
      <c r="F244" s="64" t="s">
        <v>20</v>
      </c>
      <c r="G244" s="67">
        <v>45169</v>
      </c>
      <c r="H244" s="64">
        <v>457</v>
      </c>
      <c r="I244" s="64">
        <v>48.08</v>
      </c>
      <c r="J244" s="64">
        <v>326.42</v>
      </c>
    </row>
    <row r="245" spans="1:10">
      <c r="A245" s="64" t="s">
        <v>272</v>
      </c>
      <c r="B245" s="64" t="s">
        <v>22</v>
      </c>
      <c r="C245" s="64" t="s">
        <v>18</v>
      </c>
      <c r="D245" s="64" t="s">
        <v>19</v>
      </c>
      <c r="E245" s="64" t="s">
        <v>14</v>
      </c>
      <c r="F245" s="64" t="s">
        <v>28</v>
      </c>
      <c r="G245" s="67">
        <v>45170</v>
      </c>
      <c r="H245" s="64">
        <v>437</v>
      </c>
      <c r="I245" s="64">
        <v>408.8</v>
      </c>
      <c r="J245" s="64">
        <v>246.76</v>
      </c>
    </row>
    <row r="246" spans="1:10">
      <c r="A246" s="64" t="s">
        <v>273</v>
      </c>
      <c r="B246" s="64" t="s">
        <v>11</v>
      </c>
      <c r="C246" s="64" t="s">
        <v>26</v>
      </c>
      <c r="D246" s="64" t="s">
        <v>27</v>
      </c>
      <c r="E246" s="64" t="s">
        <v>14</v>
      </c>
      <c r="F246" s="64" t="s">
        <v>15</v>
      </c>
      <c r="G246" s="67">
        <v>45171</v>
      </c>
      <c r="H246" s="64">
        <v>190</v>
      </c>
      <c r="I246" s="64">
        <v>189.89</v>
      </c>
      <c r="J246" s="64">
        <v>275.77999999999997</v>
      </c>
    </row>
    <row r="247" spans="1:10">
      <c r="A247" s="64" t="s">
        <v>274</v>
      </c>
      <c r="B247" s="64" t="s">
        <v>48</v>
      </c>
      <c r="C247" s="64" t="s">
        <v>50</v>
      </c>
      <c r="D247" s="64" t="s">
        <v>42</v>
      </c>
      <c r="E247" s="64" t="s">
        <v>24</v>
      </c>
      <c r="F247" s="64" t="s">
        <v>28</v>
      </c>
      <c r="G247" s="67">
        <v>45172</v>
      </c>
      <c r="H247" s="64">
        <v>33</v>
      </c>
      <c r="I247" s="64">
        <v>265.62</v>
      </c>
      <c r="J247" s="64">
        <v>151.35</v>
      </c>
    </row>
    <row r="248" spans="1:10">
      <c r="A248" s="64" t="s">
        <v>275</v>
      </c>
      <c r="B248" s="64" t="s">
        <v>22</v>
      </c>
      <c r="C248" s="64" t="s">
        <v>26</v>
      </c>
      <c r="D248" s="64" t="s">
        <v>42</v>
      </c>
      <c r="E248" s="64" t="s">
        <v>14</v>
      </c>
      <c r="F248" s="64" t="s">
        <v>15</v>
      </c>
      <c r="G248" s="67">
        <v>45173</v>
      </c>
      <c r="H248" s="64">
        <v>325</v>
      </c>
      <c r="I248" s="64">
        <v>60.59</v>
      </c>
      <c r="J248" s="64">
        <v>216.4</v>
      </c>
    </row>
    <row r="249" spans="1:10">
      <c r="A249" s="64" t="s">
        <v>276</v>
      </c>
      <c r="B249" s="64" t="s">
        <v>22</v>
      </c>
      <c r="C249" s="64" t="s">
        <v>26</v>
      </c>
      <c r="D249" s="64" t="s">
        <v>27</v>
      </c>
      <c r="E249" s="64" t="s">
        <v>24</v>
      </c>
      <c r="F249" s="64" t="s">
        <v>15</v>
      </c>
      <c r="G249" s="67">
        <v>45174</v>
      </c>
      <c r="H249" s="64">
        <v>387</v>
      </c>
      <c r="I249" s="64">
        <v>6.28</v>
      </c>
      <c r="J249" s="64">
        <v>210.62</v>
      </c>
    </row>
    <row r="250" spans="1:10">
      <c r="A250" s="64" t="s">
        <v>277</v>
      </c>
      <c r="B250" s="64" t="s">
        <v>22</v>
      </c>
      <c r="C250" s="64" t="s">
        <v>26</v>
      </c>
      <c r="D250" s="64" t="s">
        <v>19</v>
      </c>
      <c r="E250" s="64" t="s">
        <v>14</v>
      </c>
      <c r="F250" s="64" t="s">
        <v>28</v>
      </c>
      <c r="G250" s="67">
        <v>45175</v>
      </c>
      <c r="H250" s="64">
        <v>396</v>
      </c>
      <c r="I250" s="64">
        <v>320.8</v>
      </c>
      <c r="J250" s="64">
        <v>339.52</v>
      </c>
    </row>
    <row r="251" spans="1:10">
      <c r="A251" s="64" t="s">
        <v>278</v>
      </c>
      <c r="B251" s="64" t="s">
        <v>11</v>
      </c>
      <c r="C251" s="64" t="s">
        <v>26</v>
      </c>
      <c r="D251" s="64" t="s">
        <v>42</v>
      </c>
      <c r="E251" s="64" t="s">
        <v>14</v>
      </c>
      <c r="F251" s="64" t="s">
        <v>15</v>
      </c>
      <c r="G251" s="67">
        <v>45176</v>
      </c>
      <c r="H251" s="64">
        <v>413</v>
      </c>
      <c r="I251" s="64">
        <v>260.01</v>
      </c>
      <c r="J251" s="64">
        <v>336.31</v>
      </c>
    </row>
    <row r="252" spans="1:10">
      <c r="A252" s="64" t="s">
        <v>279</v>
      </c>
      <c r="B252" s="64" t="s">
        <v>48</v>
      </c>
      <c r="C252" s="64" t="s">
        <v>31</v>
      </c>
      <c r="D252" s="64" t="s">
        <v>42</v>
      </c>
      <c r="E252" s="64" t="s">
        <v>14</v>
      </c>
      <c r="F252" s="64" t="s">
        <v>15</v>
      </c>
      <c r="G252" s="67">
        <v>45177</v>
      </c>
      <c r="I252" s="64">
        <v>298.8</v>
      </c>
      <c r="J252" s="64">
        <v>333.41</v>
      </c>
    </row>
    <row r="253" spans="1:10">
      <c r="A253" s="64" t="s">
        <v>280</v>
      </c>
      <c r="B253" s="64" t="s">
        <v>22</v>
      </c>
      <c r="C253" s="64" t="s">
        <v>18</v>
      </c>
      <c r="D253" s="64" t="s">
        <v>13</v>
      </c>
      <c r="E253" s="64" t="s">
        <v>24</v>
      </c>
      <c r="F253" s="64" t="s">
        <v>20</v>
      </c>
      <c r="G253" s="67">
        <v>45178</v>
      </c>
      <c r="H253" s="64">
        <v>24</v>
      </c>
      <c r="I253" s="64">
        <v>397.9</v>
      </c>
      <c r="J253" s="64">
        <v>6.39</v>
      </c>
    </row>
    <row r="254" spans="1:10">
      <c r="A254" s="64" t="s">
        <v>281</v>
      </c>
      <c r="B254" s="64" t="s">
        <v>17</v>
      </c>
      <c r="C254" s="64" t="s">
        <v>12</v>
      </c>
      <c r="E254" s="64" t="s">
        <v>14</v>
      </c>
      <c r="F254" s="64" t="s">
        <v>15</v>
      </c>
      <c r="G254" s="67">
        <v>45179</v>
      </c>
      <c r="H254" s="64">
        <v>162</v>
      </c>
      <c r="I254" s="64">
        <v>325.07</v>
      </c>
      <c r="J254" s="64">
        <v>300.32</v>
      </c>
    </row>
    <row r="255" spans="1:10">
      <c r="A255" s="64" t="s">
        <v>282</v>
      </c>
      <c r="B255" s="64" t="s">
        <v>22</v>
      </c>
      <c r="C255" s="64" t="s">
        <v>26</v>
      </c>
      <c r="D255" s="64" t="s">
        <v>42</v>
      </c>
      <c r="E255" s="64" t="s">
        <v>24</v>
      </c>
      <c r="F255" s="64" t="s">
        <v>28</v>
      </c>
      <c r="G255" s="67">
        <v>45180</v>
      </c>
      <c r="H255" s="64">
        <v>231</v>
      </c>
      <c r="I255" s="64">
        <v>91.51</v>
      </c>
      <c r="J255" s="64">
        <v>303.95</v>
      </c>
    </row>
    <row r="256" spans="1:10">
      <c r="A256" s="64" t="s">
        <v>283</v>
      </c>
      <c r="B256" s="64" t="s">
        <v>22</v>
      </c>
      <c r="C256" s="64" t="s">
        <v>50</v>
      </c>
      <c r="D256" s="64" t="s">
        <v>19</v>
      </c>
      <c r="E256" s="64" t="s">
        <v>24</v>
      </c>
      <c r="F256" s="64" t="s">
        <v>28</v>
      </c>
      <c r="G256" s="67">
        <v>45181</v>
      </c>
      <c r="H256" s="64">
        <v>215</v>
      </c>
      <c r="I256" s="64">
        <v>183.58</v>
      </c>
      <c r="J256" s="64">
        <v>271.99</v>
      </c>
    </row>
    <row r="257" spans="1:10">
      <c r="A257" s="64" t="s">
        <v>284</v>
      </c>
      <c r="B257" s="64" t="s">
        <v>11</v>
      </c>
      <c r="C257" s="64" t="s">
        <v>26</v>
      </c>
      <c r="D257" s="64" t="s">
        <v>27</v>
      </c>
      <c r="E257" s="64" t="s">
        <v>24</v>
      </c>
      <c r="F257" s="64" t="s">
        <v>15</v>
      </c>
      <c r="G257" s="67">
        <v>45182</v>
      </c>
      <c r="H257" s="64">
        <v>464</v>
      </c>
      <c r="I257" s="64">
        <v>453.42</v>
      </c>
      <c r="J257" s="64">
        <v>302.99</v>
      </c>
    </row>
    <row r="258" spans="1:10">
      <c r="A258" s="64" t="s">
        <v>285</v>
      </c>
      <c r="B258" s="64" t="s">
        <v>11</v>
      </c>
      <c r="C258" s="64" t="s">
        <v>50</v>
      </c>
      <c r="D258" s="64" t="s">
        <v>23</v>
      </c>
      <c r="E258" s="64" t="s">
        <v>14</v>
      </c>
      <c r="F258" s="64" t="s">
        <v>20</v>
      </c>
      <c r="G258" s="67">
        <v>45183</v>
      </c>
      <c r="H258" s="64">
        <v>282</v>
      </c>
      <c r="J258" s="64">
        <v>337.1</v>
      </c>
    </row>
    <row r="259" spans="1:10">
      <c r="A259" s="64" t="s">
        <v>286</v>
      </c>
      <c r="B259" s="64" t="s">
        <v>48</v>
      </c>
      <c r="C259" s="64" t="s">
        <v>31</v>
      </c>
      <c r="D259" s="64" t="s">
        <v>42</v>
      </c>
      <c r="E259" s="64" t="s">
        <v>14</v>
      </c>
      <c r="F259" s="64" t="s">
        <v>20</v>
      </c>
      <c r="G259" s="67">
        <v>45184</v>
      </c>
      <c r="H259" s="64">
        <v>391</v>
      </c>
      <c r="I259" s="64">
        <v>280.54000000000002</v>
      </c>
      <c r="J259" s="64">
        <v>189.19</v>
      </c>
    </row>
    <row r="260" spans="1:10">
      <c r="A260" s="64" t="s">
        <v>287</v>
      </c>
      <c r="B260" s="64" t="s">
        <v>17</v>
      </c>
      <c r="C260" s="64" t="s">
        <v>50</v>
      </c>
      <c r="D260" s="64" t="s">
        <v>13</v>
      </c>
      <c r="E260" s="64" t="s">
        <v>14</v>
      </c>
      <c r="F260" s="64" t="s">
        <v>15</v>
      </c>
      <c r="G260" s="67">
        <v>45185</v>
      </c>
      <c r="H260" s="64">
        <v>245</v>
      </c>
      <c r="I260" s="64">
        <v>131.54</v>
      </c>
      <c r="J260" s="64">
        <v>201.82</v>
      </c>
    </row>
    <row r="261" spans="1:10">
      <c r="A261" s="64" t="s">
        <v>288</v>
      </c>
      <c r="B261" s="64" t="s">
        <v>11</v>
      </c>
      <c r="C261" s="64" t="s">
        <v>12</v>
      </c>
      <c r="D261" s="64" t="s">
        <v>27</v>
      </c>
      <c r="E261" s="64" t="s">
        <v>14</v>
      </c>
      <c r="F261" s="64" t="s">
        <v>15</v>
      </c>
      <c r="G261" s="67">
        <v>45186</v>
      </c>
      <c r="H261" s="64">
        <v>349</v>
      </c>
      <c r="I261" s="64">
        <v>154.52000000000001</v>
      </c>
      <c r="J261" s="64">
        <v>51.64</v>
      </c>
    </row>
    <row r="262" spans="1:10">
      <c r="A262" s="64" t="s">
        <v>289</v>
      </c>
      <c r="B262" s="64" t="s">
        <v>22</v>
      </c>
      <c r="C262" s="64" t="s">
        <v>18</v>
      </c>
      <c r="D262" s="64" t="s">
        <v>19</v>
      </c>
      <c r="E262" s="64" t="s">
        <v>24</v>
      </c>
      <c r="F262" s="64" t="s">
        <v>28</v>
      </c>
      <c r="G262" s="67">
        <v>45187</v>
      </c>
      <c r="H262" s="64">
        <v>237</v>
      </c>
      <c r="J262" s="64">
        <v>155.38</v>
      </c>
    </row>
    <row r="263" spans="1:10">
      <c r="A263" s="64" t="s">
        <v>290</v>
      </c>
      <c r="B263" s="64" t="s">
        <v>48</v>
      </c>
      <c r="C263" s="64" t="s">
        <v>50</v>
      </c>
      <c r="D263" s="64" t="s">
        <v>27</v>
      </c>
      <c r="E263" s="64" t="s">
        <v>24</v>
      </c>
      <c r="F263" s="64" t="s">
        <v>15</v>
      </c>
      <c r="G263" s="67">
        <v>45188</v>
      </c>
      <c r="H263" s="64">
        <v>18</v>
      </c>
      <c r="I263" s="64">
        <v>426.33</v>
      </c>
      <c r="J263" s="64">
        <v>258.06</v>
      </c>
    </row>
    <row r="264" spans="1:10">
      <c r="A264" s="64" t="s">
        <v>291</v>
      </c>
      <c r="B264" s="64" t="s">
        <v>22</v>
      </c>
      <c r="C264" s="64" t="s">
        <v>50</v>
      </c>
      <c r="D264" s="64" t="s">
        <v>42</v>
      </c>
      <c r="E264" s="64" t="s">
        <v>24</v>
      </c>
      <c r="F264" s="64" t="s">
        <v>20</v>
      </c>
      <c r="G264" s="67">
        <v>45189</v>
      </c>
      <c r="H264" s="64">
        <v>175</v>
      </c>
      <c r="I264" s="64">
        <v>337.36</v>
      </c>
      <c r="J264" s="64">
        <v>312.60000000000002</v>
      </c>
    </row>
    <row r="265" spans="1:10">
      <c r="A265" s="64" t="s">
        <v>292</v>
      </c>
      <c r="B265" s="64" t="s">
        <v>22</v>
      </c>
      <c r="C265" s="64" t="s">
        <v>18</v>
      </c>
      <c r="E265" s="64" t="s">
        <v>14</v>
      </c>
      <c r="F265" s="64" t="s">
        <v>15</v>
      </c>
      <c r="G265" s="67">
        <v>45190</v>
      </c>
      <c r="H265" s="64">
        <v>441</v>
      </c>
      <c r="I265" s="64">
        <v>405.72</v>
      </c>
      <c r="J265" s="64">
        <v>88.45</v>
      </c>
    </row>
    <row r="266" spans="1:10">
      <c r="A266" s="64" t="s">
        <v>293</v>
      </c>
      <c r="B266" s="64" t="s">
        <v>11</v>
      </c>
      <c r="C266" s="64" t="s">
        <v>12</v>
      </c>
      <c r="D266" s="64" t="s">
        <v>23</v>
      </c>
      <c r="E266" s="64" t="s">
        <v>24</v>
      </c>
      <c r="F266" s="64" t="s">
        <v>28</v>
      </c>
      <c r="G266" s="67">
        <v>45191</v>
      </c>
      <c r="H266" s="64">
        <v>453</v>
      </c>
      <c r="I266" s="64">
        <v>384.49</v>
      </c>
      <c r="J266" s="64">
        <v>56.85</v>
      </c>
    </row>
    <row r="267" spans="1:10">
      <c r="A267" s="64" t="s">
        <v>294</v>
      </c>
      <c r="B267" s="64" t="s">
        <v>48</v>
      </c>
      <c r="C267" s="64" t="s">
        <v>26</v>
      </c>
      <c r="D267" s="64" t="s">
        <v>27</v>
      </c>
      <c r="E267" s="64" t="s">
        <v>14</v>
      </c>
      <c r="F267" s="64" t="s">
        <v>28</v>
      </c>
      <c r="G267" s="67">
        <v>45192</v>
      </c>
      <c r="H267" s="64">
        <v>328</v>
      </c>
      <c r="I267" s="64">
        <v>79.099999999999994</v>
      </c>
      <c r="J267" s="64">
        <v>265.89</v>
      </c>
    </row>
    <row r="268" spans="1:10">
      <c r="A268" s="64" t="s">
        <v>295</v>
      </c>
      <c r="B268" s="64" t="s">
        <v>17</v>
      </c>
      <c r="C268" s="64" t="s">
        <v>50</v>
      </c>
      <c r="D268" s="64" t="s">
        <v>42</v>
      </c>
      <c r="E268" s="64" t="s">
        <v>24</v>
      </c>
      <c r="F268" s="64" t="s">
        <v>28</v>
      </c>
      <c r="G268" s="67">
        <v>45193</v>
      </c>
      <c r="H268" s="64">
        <v>223</v>
      </c>
      <c r="I268" s="64">
        <v>214.85</v>
      </c>
      <c r="J268" s="64">
        <v>2.75</v>
      </c>
    </row>
    <row r="269" spans="1:10">
      <c r="A269" s="64" t="s">
        <v>296</v>
      </c>
      <c r="B269" s="64" t="s">
        <v>17</v>
      </c>
      <c r="C269" s="64" t="s">
        <v>18</v>
      </c>
      <c r="D269" s="64" t="s">
        <v>13</v>
      </c>
      <c r="E269" s="64" t="s">
        <v>14</v>
      </c>
      <c r="F269" s="64" t="s">
        <v>28</v>
      </c>
      <c r="G269" s="67">
        <v>45194</v>
      </c>
      <c r="H269" s="64">
        <v>126</v>
      </c>
      <c r="I269" s="64">
        <v>80.73</v>
      </c>
      <c r="J269" s="64">
        <v>72.989999999999995</v>
      </c>
    </row>
    <row r="270" spans="1:10">
      <c r="A270" s="64" t="s">
        <v>297</v>
      </c>
      <c r="B270" s="64" t="s">
        <v>11</v>
      </c>
      <c r="C270" s="64" t="s">
        <v>31</v>
      </c>
      <c r="D270" s="64" t="s">
        <v>19</v>
      </c>
      <c r="E270" s="64" t="s">
        <v>14</v>
      </c>
      <c r="F270" s="64" t="s">
        <v>28</v>
      </c>
      <c r="G270" s="67">
        <v>45195</v>
      </c>
      <c r="H270" s="64">
        <v>395</v>
      </c>
      <c r="I270" s="64">
        <v>121.44</v>
      </c>
      <c r="J270" s="64">
        <v>13.57</v>
      </c>
    </row>
    <row r="271" spans="1:10">
      <c r="A271" s="64" t="s">
        <v>298</v>
      </c>
      <c r="B271" s="64" t="s">
        <v>11</v>
      </c>
      <c r="C271" s="64" t="s">
        <v>18</v>
      </c>
      <c r="D271" s="64" t="s">
        <v>27</v>
      </c>
      <c r="E271" s="64" t="s">
        <v>24</v>
      </c>
      <c r="F271" s="64" t="s">
        <v>15</v>
      </c>
      <c r="G271" s="67">
        <v>45196</v>
      </c>
      <c r="H271" s="64">
        <v>353</v>
      </c>
      <c r="I271" s="64">
        <v>435.28</v>
      </c>
      <c r="J271" s="64">
        <v>68.42</v>
      </c>
    </row>
    <row r="272" spans="1:10">
      <c r="A272" s="64" t="s">
        <v>299</v>
      </c>
      <c r="B272" s="64" t="s">
        <v>48</v>
      </c>
      <c r="C272" s="64" t="s">
        <v>31</v>
      </c>
      <c r="D272" s="64" t="s">
        <v>27</v>
      </c>
      <c r="E272" s="64" t="s">
        <v>24</v>
      </c>
      <c r="F272" s="64" t="s">
        <v>15</v>
      </c>
      <c r="G272" s="67">
        <v>45197</v>
      </c>
      <c r="H272" s="64">
        <v>81</v>
      </c>
      <c r="I272" s="64">
        <v>239.08</v>
      </c>
      <c r="J272" s="64">
        <v>74.17</v>
      </c>
    </row>
    <row r="273" spans="1:10">
      <c r="A273" s="64" t="s">
        <v>300</v>
      </c>
      <c r="B273" s="64" t="s">
        <v>17</v>
      </c>
      <c r="C273" s="64" t="s">
        <v>12</v>
      </c>
      <c r="D273" s="64" t="s">
        <v>23</v>
      </c>
      <c r="E273" s="64" t="s">
        <v>24</v>
      </c>
      <c r="F273" s="64" t="s">
        <v>15</v>
      </c>
      <c r="G273" s="67">
        <v>45198</v>
      </c>
      <c r="H273" s="64">
        <v>404</v>
      </c>
      <c r="I273" s="64">
        <v>270</v>
      </c>
      <c r="J273" s="64">
        <v>156.29</v>
      </c>
    </row>
    <row r="274" spans="1:10">
      <c r="A274" s="64" t="s">
        <v>301</v>
      </c>
      <c r="B274" s="64" t="s">
        <v>17</v>
      </c>
      <c r="C274" s="64" t="s">
        <v>26</v>
      </c>
      <c r="D274" s="64" t="s">
        <v>23</v>
      </c>
      <c r="E274" s="64" t="s">
        <v>24</v>
      </c>
      <c r="F274" s="64" t="s">
        <v>15</v>
      </c>
      <c r="G274" s="67">
        <v>45199</v>
      </c>
      <c r="H274" s="64">
        <v>73</v>
      </c>
      <c r="I274" s="64">
        <v>93.33</v>
      </c>
      <c r="J274" s="64">
        <v>162.13</v>
      </c>
    </row>
    <row r="275" spans="1:10">
      <c r="A275" s="64" t="s">
        <v>302</v>
      </c>
      <c r="B275" s="64" t="s">
        <v>17</v>
      </c>
      <c r="C275" s="64" t="s">
        <v>18</v>
      </c>
      <c r="D275" s="64" t="s">
        <v>13</v>
      </c>
      <c r="E275" s="64" t="s">
        <v>14</v>
      </c>
      <c r="F275" s="64" t="s">
        <v>28</v>
      </c>
      <c r="G275" s="67">
        <v>45200</v>
      </c>
      <c r="H275" s="64">
        <v>214</v>
      </c>
      <c r="I275" s="64">
        <v>159.57</v>
      </c>
      <c r="J275" s="64">
        <v>349.96</v>
      </c>
    </row>
    <row r="276" spans="1:10">
      <c r="A276" s="64" t="s">
        <v>303</v>
      </c>
      <c r="B276" s="64" t="s">
        <v>22</v>
      </c>
      <c r="C276" s="64" t="s">
        <v>50</v>
      </c>
      <c r="D276" s="64" t="s">
        <v>13</v>
      </c>
      <c r="E276" s="64" t="s">
        <v>24</v>
      </c>
      <c r="F276" s="64" t="s">
        <v>20</v>
      </c>
      <c r="G276" s="67">
        <v>45201</v>
      </c>
      <c r="H276" s="64">
        <v>218</v>
      </c>
      <c r="I276" s="64">
        <v>118.97</v>
      </c>
      <c r="J276" s="64">
        <v>205.02</v>
      </c>
    </row>
    <row r="277" spans="1:10">
      <c r="A277" s="64" t="s">
        <v>304</v>
      </c>
      <c r="B277" s="64" t="s">
        <v>17</v>
      </c>
      <c r="C277" s="64" t="s">
        <v>12</v>
      </c>
      <c r="D277" s="64" t="s">
        <v>42</v>
      </c>
      <c r="E277" s="64" t="s">
        <v>24</v>
      </c>
      <c r="F277" s="64" t="s">
        <v>15</v>
      </c>
      <c r="G277" s="67">
        <v>45202</v>
      </c>
      <c r="H277" s="64">
        <v>81</v>
      </c>
      <c r="I277" s="64">
        <v>107.06</v>
      </c>
      <c r="J277" s="64">
        <v>289.92</v>
      </c>
    </row>
    <row r="278" spans="1:10">
      <c r="A278" s="64" t="s">
        <v>305</v>
      </c>
      <c r="B278" s="64" t="s">
        <v>22</v>
      </c>
      <c r="C278" s="64" t="s">
        <v>18</v>
      </c>
      <c r="D278" s="64" t="s">
        <v>42</v>
      </c>
      <c r="E278" s="64" t="s">
        <v>24</v>
      </c>
      <c r="F278" s="64" t="s">
        <v>20</v>
      </c>
      <c r="G278" s="67">
        <v>45203</v>
      </c>
      <c r="H278" s="64">
        <v>286</v>
      </c>
      <c r="I278" s="64">
        <v>320.79000000000002</v>
      </c>
      <c r="J278" s="64">
        <v>43.45</v>
      </c>
    </row>
    <row r="279" spans="1:10">
      <c r="A279" s="64" t="s">
        <v>306</v>
      </c>
      <c r="B279" s="64" t="s">
        <v>48</v>
      </c>
      <c r="C279" s="64" t="s">
        <v>50</v>
      </c>
      <c r="D279" s="64" t="s">
        <v>13</v>
      </c>
      <c r="E279" s="64" t="s">
        <v>14</v>
      </c>
      <c r="F279" s="64" t="s">
        <v>15</v>
      </c>
      <c r="G279" s="67">
        <v>45204</v>
      </c>
      <c r="H279" s="64">
        <v>283</v>
      </c>
      <c r="I279" s="64">
        <v>132.16</v>
      </c>
      <c r="J279" s="64">
        <v>91.72</v>
      </c>
    </row>
    <row r="280" spans="1:10">
      <c r="A280" s="64" t="s">
        <v>307</v>
      </c>
      <c r="B280" s="64" t="s">
        <v>22</v>
      </c>
      <c r="C280" s="64" t="s">
        <v>18</v>
      </c>
      <c r="D280" s="64" t="s">
        <v>13</v>
      </c>
      <c r="E280" s="64" t="s">
        <v>14</v>
      </c>
      <c r="F280" s="64" t="s">
        <v>15</v>
      </c>
      <c r="G280" s="67">
        <v>45205</v>
      </c>
      <c r="H280" s="64">
        <v>487</v>
      </c>
      <c r="I280" s="64">
        <v>317.85000000000002</v>
      </c>
      <c r="J280" s="64">
        <v>281.77</v>
      </c>
    </row>
    <row r="281" spans="1:10">
      <c r="A281" s="64" t="s">
        <v>308</v>
      </c>
      <c r="B281" s="64" t="s">
        <v>48</v>
      </c>
      <c r="C281" s="64" t="s">
        <v>31</v>
      </c>
      <c r="D281" s="64" t="s">
        <v>19</v>
      </c>
      <c r="E281" s="64" t="s">
        <v>24</v>
      </c>
      <c r="F281" s="64" t="s">
        <v>20</v>
      </c>
      <c r="G281" s="67">
        <v>45206</v>
      </c>
      <c r="H281" s="64">
        <v>329</v>
      </c>
      <c r="I281" s="64">
        <v>33.94</v>
      </c>
      <c r="J281" s="64">
        <v>23.02</v>
      </c>
    </row>
    <row r="282" spans="1:10">
      <c r="A282" s="64" t="s">
        <v>309</v>
      </c>
      <c r="B282" s="64" t="s">
        <v>17</v>
      </c>
      <c r="C282" s="64" t="s">
        <v>18</v>
      </c>
      <c r="D282" s="64" t="s">
        <v>23</v>
      </c>
      <c r="E282" s="64" t="s">
        <v>14</v>
      </c>
      <c r="F282" s="64" t="s">
        <v>28</v>
      </c>
      <c r="G282" s="67">
        <v>45207</v>
      </c>
      <c r="H282" s="64">
        <v>347</v>
      </c>
      <c r="I282" s="64">
        <v>75.180000000000007</v>
      </c>
      <c r="J282" s="64">
        <v>195.67</v>
      </c>
    </row>
    <row r="283" spans="1:10">
      <c r="A283" s="64" t="s">
        <v>310</v>
      </c>
      <c r="B283" s="64" t="s">
        <v>17</v>
      </c>
      <c r="C283" s="64" t="s">
        <v>18</v>
      </c>
      <c r="D283" s="64" t="s">
        <v>42</v>
      </c>
      <c r="E283" s="64" t="s">
        <v>24</v>
      </c>
      <c r="F283" s="64" t="s">
        <v>15</v>
      </c>
      <c r="G283" s="67">
        <v>45208</v>
      </c>
      <c r="H283" s="64">
        <v>375</v>
      </c>
      <c r="I283" s="64">
        <v>140.9</v>
      </c>
      <c r="J283" s="64">
        <v>240.55</v>
      </c>
    </row>
    <row r="284" spans="1:10">
      <c r="A284" s="64" t="s">
        <v>311</v>
      </c>
      <c r="B284" s="64" t="s">
        <v>48</v>
      </c>
      <c r="C284" s="64" t="s">
        <v>18</v>
      </c>
      <c r="D284" s="64" t="s">
        <v>23</v>
      </c>
      <c r="E284" s="64" t="s">
        <v>14</v>
      </c>
      <c r="F284" s="64" t="s">
        <v>15</v>
      </c>
      <c r="G284" s="67">
        <v>45209</v>
      </c>
      <c r="H284" s="64">
        <v>104</v>
      </c>
      <c r="I284" s="64">
        <v>300.54000000000002</v>
      </c>
      <c r="J284" s="64">
        <v>241.65</v>
      </c>
    </row>
    <row r="285" spans="1:10">
      <c r="A285" s="64" t="s">
        <v>312</v>
      </c>
      <c r="B285" s="64" t="s">
        <v>11</v>
      </c>
      <c r="C285" s="64" t="s">
        <v>12</v>
      </c>
      <c r="E285" s="64" t="s">
        <v>14</v>
      </c>
      <c r="F285" s="64" t="s">
        <v>15</v>
      </c>
      <c r="G285" s="67">
        <v>45210</v>
      </c>
      <c r="H285" s="64">
        <v>175</v>
      </c>
      <c r="I285" s="64">
        <v>339.54</v>
      </c>
      <c r="J285" s="64">
        <v>11.13</v>
      </c>
    </row>
    <row r="286" spans="1:10">
      <c r="A286" s="64" t="s">
        <v>313</v>
      </c>
      <c r="B286" s="64" t="s">
        <v>48</v>
      </c>
      <c r="C286" s="64" t="s">
        <v>18</v>
      </c>
      <c r="D286" s="64" t="s">
        <v>13</v>
      </c>
      <c r="E286" s="64" t="s">
        <v>14</v>
      </c>
      <c r="F286" s="64" t="s">
        <v>20</v>
      </c>
      <c r="G286" s="67">
        <v>45211</v>
      </c>
      <c r="H286" s="64">
        <v>41</v>
      </c>
      <c r="I286" s="64">
        <v>224.14</v>
      </c>
      <c r="J286" s="64">
        <v>130.19999999999999</v>
      </c>
    </row>
    <row r="287" spans="1:10">
      <c r="A287" s="64" t="s">
        <v>314</v>
      </c>
      <c r="B287" s="64" t="s">
        <v>11</v>
      </c>
      <c r="C287" s="64" t="s">
        <v>50</v>
      </c>
      <c r="D287" s="64" t="s">
        <v>19</v>
      </c>
      <c r="E287" s="64" t="s">
        <v>14</v>
      </c>
      <c r="F287" s="64" t="s">
        <v>28</v>
      </c>
      <c r="G287" s="67">
        <v>45212</v>
      </c>
      <c r="H287" s="64">
        <v>20</v>
      </c>
      <c r="I287" s="64">
        <v>225.67</v>
      </c>
      <c r="J287" s="64">
        <v>255.32</v>
      </c>
    </row>
    <row r="288" spans="1:10">
      <c r="A288" s="64" t="s">
        <v>315</v>
      </c>
      <c r="B288" s="64" t="s">
        <v>22</v>
      </c>
      <c r="C288" s="64" t="s">
        <v>31</v>
      </c>
      <c r="D288" s="64" t="s">
        <v>27</v>
      </c>
      <c r="E288" s="64" t="s">
        <v>24</v>
      </c>
      <c r="F288" s="64" t="s">
        <v>20</v>
      </c>
      <c r="G288" s="67">
        <v>45213</v>
      </c>
      <c r="H288" s="64">
        <v>310</v>
      </c>
      <c r="I288" s="64">
        <v>363.64</v>
      </c>
      <c r="J288" s="64">
        <v>61.3</v>
      </c>
    </row>
    <row r="289" spans="1:10">
      <c r="A289" s="64" t="s">
        <v>316</v>
      </c>
      <c r="B289" s="64" t="s">
        <v>22</v>
      </c>
      <c r="C289" s="64" t="s">
        <v>31</v>
      </c>
      <c r="D289" s="64" t="s">
        <v>19</v>
      </c>
      <c r="E289" s="64" t="s">
        <v>24</v>
      </c>
      <c r="F289" s="64" t="s">
        <v>20</v>
      </c>
      <c r="G289" s="67">
        <v>45214</v>
      </c>
      <c r="H289" s="64">
        <v>226</v>
      </c>
      <c r="J289" s="64">
        <v>278.77999999999997</v>
      </c>
    </row>
    <row r="290" spans="1:10">
      <c r="A290" s="64" t="s">
        <v>317</v>
      </c>
      <c r="B290" s="64" t="s">
        <v>22</v>
      </c>
      <c r="C290" s="64" t="s">
        <v>18</v>
      </c>
      <c r="D290" s="64" t="s">
        <v>19</v>
      </c>
      <c r="E290" s="64" t="s">
        <v>24</v>
      </c>
      <c r="F290" s="64" t="s">
        <v>28</v>
      </c>
      <c r="G290" s="67">
        <v>45215</v>
      </c>
      <c r="I290" s="64">
        <v>173.84</v>
      </c>
      <c r="J290" s="64">
        <v>298.88</v>
      </c>
    </row>
    <row r="291" spans="1:10">
      <c r="A291" s="64" t="s">
        <v>318</v>
      </c>
      <c r="B291" s="64" t="s">
        <v>17</v>
      </c>
      <c r="C291" s="64" t="s">
        <v>12</v>
      </c>
      <c r="D291" s="64" t="s">
        <v>23</v>
      </c>
      <c r="E291" s="64" t="s">
        <v>14</v>
      </c>
      <c r="F291" s="64" t="s">
        <v>20</v>
      </c>
      <c r="G291" s="67">
        <v>45216</v>
      </c>
      <c r="H291" s="64">
        <v>111</v>
      </c>
      <c r="I291" s="64">
        <v>410.26</v>
      </c>
      <c r="J291" s="64">
        <v>392.82</v>
      </c>
    </row>
    <row r="292" spans="1:10">
      <c r="A292" s="64" t="s">
        <v>319</v>
      </c>
      <c r="B292" s="64" t="s">
        <v>22</v>
      </c>
      <c r="C292" s="64" t="s">
        <v>12</v>
      </c>
      <c r="D292" s="64" t="s">
        <v>19</v>
      </c>
      <c r="E292" s="64" t="s">
        <v>24</v>
      </c>
      <c r="F292" s="64" t="s">
        <v>28</v>
      </c>
      <c r="G292" s="67">
        <v>45217</v>
      </c>
      <c r="H292" s="64">
        <v>434</v>
      </c>
      <c r="I292" s="64">
        <v>303.58999999999997</v>
      </c>
      <c r="J292" s="64">
        <v>85.52</v>
      </c>
    </row>
    <row r="293" spans="1:10">
      <c r="A293" s="64" t="s">
        <v>320</v>
      </c>
      <c r="B293" s="64" t="s">
        <v>11</v>
      </c>
      <c r="C293" s="64" t="s">
        <v>50</v>
      </c>
      <c r="D293" s="64" t="s">
        <v>42</v>
      </c>
      <c r="E293" s="64" t="s">
        <v>24</v>
      </c>
      <c r="F293" s="64" t="s">
        <v>15</v>
      </c>
      <c r="G293" s="67">
        <v>45218</v>
      </c>
      <c r="H293" s="64">
        <v>401</v>
      </c>
      <c r="I293" s="64">
        <v>171.93</v>
      </c>
      <c r="J293" s="64">
        <v>330.4</v>
      </c>
    </row>
    <row r="294" spans="1:10">
      <c r="A294" s="64" t="s">
        <v>321</v>
      </c>
      <c r="B294" s="64" t="s">
        <v>22</v>
      </c>
      <c r="C294" s="64" t="s">
        <v>18</v>
      </c>
      <c r="D294" s="64" t="s">
        <v>23</v>
      </c>
      <c r="E294" s="64" t="s">
        <v>24</v>
      </c>
      <c r="F294" s="64" t="s">
        <v>28</v>
      </c>
      <c r="G294" s="67">
        <v>45219</v>
      </c>
      <c r="H294" s="64">
        <v>276</v>
      </c>
      <c r="I294" s="64">
        <v>453.23</v>
      </c>
      <c r="J294" s="64">
        <v>209.08</v>
      </c>
    </row>
    <row r="295" spans="1:10">
      <c r="A295" s="64" t="s">
        <v>322</v>
      </c>
      <c r="B295" s="64" t="s">
        <v>48</v>
      </c>
      <c r="C295" s="64" t="s">
        <v>31</v>
      </c>
      <c r="D295" s="64" t="s">
        <v>42</v>
      </c>
      <c r="E295" s="64" t="s">
        <v>14</v>
      </c>
      <c r="F295" s="64" t="s">
        <v>15</v>
      </c>
      <c r="G295" s="67">
        <v>45220</v>
      </c>
      <c r="I295" s="64">
        <v>387.45</v>
      </c>
      <c r="J295" s="64">
        <v>150.63999999999999</v>
      </c>
    </row>
    <row r="296" spans="1:10">
      <c r="A296" s="64" t="s">
        <v>323</v>
      </c>
      <c r="B296" s="64" t="s">
        <v>48</v>
      </c>
      <c r="C296" s="64" t="s">
        <v>12</v>
      </c>
      <c r="D296" s="64" t="s">
        <v>27</v>
      </c>
      <c r="E296" s="64" t="s">
        <v>14</v>
      </c>
      <c r="F296" s="64" t="s">
        <v>20</v>
      </c>
      <c r="G296" s="67">
        <v>45221</v>
      </c>
      <c r="H296" s="64">
        <v>188</v>
      </c>
      <c r="I296" s="64">
        <v>136.12</v>
      </c>
      <c r="J296" s="64">
        <v>50.71</v>
      </c>
    </row>
    <row r="297" spans="1:10">
      <c r="A297" s="64" t="s">
        <v>324</v>
      </c>
      <c r="B297" s="64" t="s">
        <v>17</v>
      </c>
      <c r="C297" s="64" t="s">
        <v>18</v>
      </c>
      <c r="D297" s="64" t="s">
        <v>23</v>
      </c>
      <c r="E297" s="64" t="s">
        <v>14</v>
      </c>
      <c r="F297" s="64" t="s">
        <v>20</v>
      </c>
      <c r="G297" s="67">
        <v>45222</v>
      </c>
      <c r="H297" s="64">
        <v>97</v>
      </c>
      <c r="I297" s="64">
        <v>324.42</v>
      </c>
      <c r="J297" s="64">
        <v>294.73</v>
      </c>
    </row>
    <row r="298" spans="1:10">
      <c r="A298" s="64" t="s">
        <v>325</v>
      </c>
      <c r="B298" s="64" t="s">
        <v>48</v>
      </c>
      <c r="C298" s="64" t="s">
        <v>12</v>
      </c>
      <c r="D298" s="64" t="s">
        <v>27</v>
      </c>
      <c r="E298" s="64" t="s">
        <v>24</v>
      </c>
      <c r="F298" s="64" t="s">
        <v>15</v>
      </c>
      <c r="G298" s="67">
        <v>45223</v>
      </c>
      <c r="H298" s="64">
        <v>50</v>
      </c>
      <c r="I298" s="64">
        <v>299.89999999999998</v>
      </c>
      <c r="J298" s="64">
        <v>95.87</v>
      </c>
    </row>
    <row r="299" spans="1:10">
      <c r="A299" s="64" t="s">
        <v>326</v>
      </c>
      <c r="B299" s="64" t="s">
        <v>11</v>
      </c>
      <c r="C299" s="64" t="s">
        <v>12</v>
      </c>
      <c r="D299" s="64" t="s">
        <v>23</v>
      </c>
      <c r="E299" s="64" t="s">
        <v>24</v>
      </c>
      <c r="F299" s="64" t="s">
        <v>20</v>
      </c>
      <c r="G299" s="67">
        <v>45224</v>
      </c>
      <c r="H299" s="64">
        <v>410</v>
      </c>
      <c r="I299" s="64">
        <v>203.59</v>
      </c>
      <c r="J299" s="64">
        <v>149.83000000000001</v>
      </c>
    </row>
    <row r="300" spans="1:10">
      <c r="A300" s="64" t="s">
        <v>327</v>
      </c>
      <c r="B300" s="64" t="s">
        <v>22</v>
      </c>
      <c r="C300" s="64" t="s">
        <v>31</v>
      </c>
      <c r="D300" s="64" t="s">
        <v>13</v>
      </c>
      <c r="E300" s="64" t="s">
        <v>24</v>
      </c>
      <c r="F300" s="64" t="s">
        <v>28</v>
      </c>
      <c r="G300" s="67">
        <v>45225</v>
      </c>
      <c r="H300" s="64">
        <v>85</v>
      </c>
      <c r="I300" s="64">
        <v>186.64</v>
      </c>
      <c r="J300" s="64">
        <v>26.89</v>
      </c>
    </row>
    <row r="301" spans="1:10">
      <c r="A301" s="64" t="s">
        <v>328</v>
      </c>
      <c r="B301" s="64" t="s">
        <v>17</v>
      </c>
      <c r="C301" s="64" t="s">
        <v>26</v>
      </c>
      <c r="D301" s="64" t="s">
        <v>19</v>
      </c>
      <c r="E301" s="64" t="s">
        <v>14</v>
      </c>
      <c r="F301" s="64" t="s">
        <v>15</v>
      </c>
      <c r="G301" s="67">
        <v>45226</v>
      </c>
      <c r="H301" s="64">
        <v>386</v>
      </c>
      <c r="I301" s="64">
        <v>175.06</v>
      </c>
      <c r="J301" s="64">
        <v>320.94</v>
      </c>
    </row>
    <row r="302" spans="1:10">
      <c r="A302" s="64" t="s">
        <v>329</v>
      </c>
      <c r="B302" s="64" t="s">
        <v>22</v>
      </c>
      <c r="C302" s="64" t="s">
        <v>50</v>
      </c>
      <c r="D302" s="64" t="s">
        <v>13</v>
      </c>
      <c r="E302" s="64" t="s">
        <v>14</v>
      </c>
      <c r="F302" s="64" t="s">
        <v>20</v>
      </c>
      <c r="G302" s="67">
        <v>45227</v>
      </c>
      <c r="H302" s="64">
        <v>55</v>
      </c>
      <c r="I302" s="64">
        <v>310.49</v>
      </c>
      <c r="J302" s="64">
        <v>307.10000000000002</v>
      </c>
    </row>
    <row r="303" spans="1:10">
      <c r="A303" s="64" t="s">
        <v>330</v>
      </c>
      <c r="B303" s="64" t="s">
        <v>22</v>
      </c>
      <c r="C303" s="64" t="s">
        <v>50</v>
      </c>
      <c r="D303" s="64" t="s">
        <v>27</v>
      </c>
      <c r="E303" s="64" t="s">
        <v>24</v>
      </c>
      <c r="F303" s="64" t="s">
        <v>15</v>
      </c>
      <c r="G303" s="67">
        <v>45228</v>
      </c>
      <c r="H303" s="64">
        <v>169</v>
      </c>
      <c r="I303" s="64">
        <v>223.99</v>
      </c>
      <c r="J303" s="64">
        <v>293.98</v>
      </c>
    </row>
    <row r="304" spans="1:10">
      <c r="A304" s="64" t="s">
        <v>331</v>
      </c>
      <c r="B304" s="64" t="s">
        <v>11</v>
      </c>
      <c r="C304" s="64" t="s">
        <v>31</v>
      </c>
      <c r="D304" s="64" t="s">
        <v>19</v>
      </c>
      <c r="E304" s="64" t="s">
        <v>14</v>
      </c>
      <c r="F304" s="64" t="s">
        <v>28</v>
      </c>
      <c r="G304" s="67">
        <v>45229</v>
      </c>
      <c r="H304" s="64">
        <v>472</v>
      </c>
      <c r="I304" s="64">
        <v>416.77</v>
      </c>
      <c r="J304" s="64">
        <v>121.18</v>
      </c>
    </row>
    <row r="305" spans="1:10">
      <c r="A305" s="64" t="s">
        <v>332</v>
      </c>
      <c r="B305" s="64" t="s">
        <v>48</v>
      </c>
      <c r="C305" s="64" t="s">
        <v>12</v>
      </c>
      <c r="D305" s="64" t="s">
        <v>23</v>
      </c>
      <c r="E305" s="64" t="s">
        <v>14</v>
      </c>
      <c r="F305" s="64" t="s">
        <v>28</v>
      </c>
      <c r="G305" s="67">
        <v>45230</v>
      </c>
      <c r="H305" s="64">
        <v>89</v>
      </c>
      <c r="I305" s="64">
        <v>336.45</v>
      </c>
      <c r="J305" s="64">
        <v>71.05</v>
      </c>
    </row>
    <row r="306" spans="1:10">
      <c r="A306" s="64" t="s">
        <v>333</v>
      </c>
      <c r="B306" s="64" t="s">
        <v>48</v>
      </c>
      <c r="C306" s="64" t="s">
        <v>18</v>
      </c>
      <c r="D306" s="64" t="s">
        <v>19</v>
      </c>
      <c r="E306" s="64" t="s">
        <v>14</v>
      </c>
      <c r="F306" s="64" t="s">
        <v>20</v>
      </c>
      <c r="G306" s="67">
        <v>45231</v>
      </c>
      <c r="H306" s="64">
        <v>319</v>
      </c>
      <c r="I306" s="64">
        <v>39.619999999999997</v>
      </c>
      <c r="J306" s="64">
        <v>255.75</v>
      </c>
    </row>
    <row r="307" spans="1:10">
      <c r="A307" s="64" t="s">
        <v>334</v>
      </c>
      <c r="B307" s="64" t="s">
        <v>22</v>
      </c>
      <c r="C307" s="64" t="s">
        <v>12</v>
      </c>
      <c r="E307" s="64" t="s">
        <v>14</v>
      </c>
      <c r="F307" s="64" t="s">
        <v>28</v>
      </c>
      <c r="G307" s="67">
        <v>45232</v>
      </c>
      <c r="H307" s="64">
        <v>95</v>
      </c>
      <c r="I307" s="64">
        <v>321.88</v>
      </c>
      <c r="J307" s="64">
        <v>199.47</v>
      </c>
    </row>
    <row r="308" spans="1:10">
      <c r="A308" s="64" t="s">
        <v>335</v>
      </c>
      <c r="B308" s="64" t="s">
        <v>17</v>
      </c>
      <c r="C308" s="64" t="s">
        <v>31</v>
      </c>
      <c r="E308" s="64" t="s">
        <v>24</v>
      </c>
      <c r="F308" s="64" t="s">
        <v>15</v>
      </c>
      <c r="G308" s="67">
        <v>45233</v>
      </c>
      <c r="H308" s="64">
        <v>101</v>
      </c>
      <c r="I308" s="64">
        <v>139.22</v>
      </c>
      <c r="J308" s="64">
        <v>72.94</v>
      </c>
    </row>
    <row r="309" spans="1:10">
      <c r="A309" s="64" t="s">
        <v>336</v>
      </c>
      <c r="B309" s="64" t="s">
        <v>48</v>
      </c>
      <c r="C309" s="64" t="s">
        <v>50</v>
      </c>
      <c r="E309" s="64" t="s">
        <v>14</v>
      </c>
      <c r="F309" s="64" t="s">
        <v>28</v>
      </c>
      <c r="G309" s="67">
        <v>45234</v>
      </c>
      <c r="H309" s="64">
        <v>157</v>
      </c>
      <c r="J309" s="64">
        <v>274.99</v>
      </c>
    </row>
    <row r="310" spans="1:10">
      <c r="A310" s="64" t="s">
        <v>337</v>
      </c>
      <c r="B310" s="64" t="s">
        <v>17</v>
      </c>
      <c r="C310" s="64" t="s">
        <v>12</v>
      </c>
      <c r="D310" s="64" t="s">
        <v>19</v>
      </c>
      <c r="E310" s="64" t="s">
        <v>14</v>
      </c>
      <c r="F310" s="64" t="s">
        <v>15</v>
      </c>
      <c r="G310" s="67">
        <v>45235</v>
      </c>
      <c r="H310" s="64">
        <v>170</v>
      </c>
      <c r="I310" s="64">
        <v>341.67</v>
      </c>
      <c r="J310" s="64">
        <v>396.47</v>
      </c>
    </row>
    <row r="311" spans="1:10">
      <c r="A311" s="64" t="s">
        <v>338</v>
      </c>
      <c r="B311" s="64" t="s">
        <v>48</v>
      </c>
      <c r="C311" s="64" t="s">
        <v>50</v>
      </c>
      <c r="D311" s="64" t="s">
        <v>42</v>
      </c>
      <c r="E311" s="64" t="s">
        <v>14</v>
      </c>
      <c r="F311" s="64" t="s">
        <v>15</v>
      </c>
      <c r="G311" s="67">
        <v>45236</v>
      </c>
      <c r="H311" s="64">
        <v>211</v>
      </c>
      <c r="I311" s="64">
        <v>119.26</v>
      </c>
      <c r="J311" s="64">
        <v>299.39</v>
      </c>
    </row>
    <row r="312" spans="1:10">
      <c r="A312" s="64" t="s">
        <v>339</v>
      </c>
      <c r="B312" s="64" t="s">
        <v>17</v>
      </c>
      <c r="C312" s="64" t="s">
        <v>18</v>
      </c>
      <c r="D312" s="64" t="s">
        <v>27</v>
      </c>
      <c r="E312" s="64" t="s">
        <v>14</v>
      </c>
      <c r="F312" s="64" t="s">
        <v>28</v>
      </c>
      <c r="G312" s="67">
        <v>45237</v>
      </c>
      <c r="H312" s="64">
        <v>433</v>
      </c>
      <c r="I312" s="64">
        <v>231.15</v>
      </c>
      <c r="J312" s="64">
        <v>296.51</v>
      </c>
    </row>
    <row r="313" spans="1:10">
      <c r="A313" s="64" t="s">
        <v>340</v>
      </c>
      <c r="B313" s="64" t="s">
        <v>11</v>
      </c>
      <c r="C313" s="64" t="s">
        <v>50</v>
      </c>
      <c r="D313" s="64" t="s">
        <v>13</v>
      </c>
      <c r="E313" s="64" t="s">
        <v>24</v>
      </c>
      <c r="F313" s="64" t="s">
        <v>20</v>
      </c>
      <c r="G313" s="67">
        <v>45238</v>
      </c>
      <c r="H313" s="64">
        <v>425</v>
      </c>
      <c r="I313" s="64">
        <v>99.21</v>
      </c>
      <c r="J313" s="64">
        <v>380.22</v>
      </c>
    </row>
    <row r="314" spans="1:10">
      <c r="A314" s="64" t="s">
        <v>341</v>
      </c>
      <c r="B314" s="64" t="s">
        <v>17</v>
      </c>
      <c r="C314" s="64" t="s">
        <v>50</v>
      </c>
      <c r="D314" s="64" t="s">
        <v>23</v>
      </c>
      <c r="E314" s="64" t="s">
        <v>24</v>
      </c>
      <c r="F314" s="64" t="s">
        <v>28</v>
      </c>
      <c r="G314" s="67">
        <v>45239</v>
      </c>
      <c r="H314" s="64">
        <v>251</v>
      </c>
      <c r="I314" s="64">
        <v>30.91</v>
      </c>
      <c r="J314" s="64">
        <v>82.77</v>
      </c>
    </row>
    <row r="315" spans="1:10">
      <c r="A315" s="64" t="s">
        <v>342</v>
      </c>
      <c r="B315" s="64" t="s">
        <v>11</v>
      </c>
      <c r="C315" s="64" t="s">
        <v>26</v>
      </c>
      <c r="D315" s="64" t="s">
        <v>19</v>
      </c>
      <c r="E315" s="64" t="s">
        <v>14</v>
      </c>
      <c r="F315" s="64" t="s">
        <v>15</v>
      </c>
      <c r="G315" s="67">
        <v>45240</v>
      </c>
      <c r="I315" s="64">
        <v>192.35</v>
      </c>
      <c r="J315" s="64">
        <v>227.09</v>
      </c>
    </row>
    <row r="316" spans="1:10">
      <c r="A316" s="64" t="s">
        <v>343</v>
      </c>
      <c r="B316" s="64" t="s">
        <v>11</v>
      </c>
      <c r="C316" s="64" t="s">
        <v>26</v>
      </c>
      <c r="D316" s="64" t="s">
        <v>13</v>
      </c>
      <c r="E316" s="64" t="s">
        <v>14</v>
      </c>
      <c r="F316" s="64" t="s">
        <v>15</v>
      </c>
      <c r="G316" s="67">
        <v>45241</v>
      </c>
      <c r="H316" s="64">
        <v>11</v>
      </c>
      <c r="I316" s="64">
        <v>184.66</v>
      </c>
      <c r="J316" s="64">
        <v>391.9</v>
      </c>
    </row>
    <row r="317" spans="1:10">
      <c r="A317" s="64" t="s">
        <v>344</v>
      </c>
      <c r="B317" s="64" t="s">
        <v>17</v>
      </c>
      <c r="C317" s="64" t="s">
        <v>26</v>
      </c>
      <c r="D317" s="64" t="s">
        <v>23</v>
      </c>
      <c r="E317" s="64" t="s">
        <v>14</v>
      </c>
      <c r="F317" s="64" t="s">
        <v>28</v>
      </c>
      <c r="G317" s="67">
        <v>45242</v>
      </c>
      <c r="H317" s="64">
        <v>234</v>
      </c>
      <c r="I317" s="64">
        <v>497.76</v>
      </c>
      <c r="J317" s="64">
        <v>67.790000000000006</v>
      </c>
    </row>
    <row r="318" spans="1:10">
      <c r="A318" s="64" t="s">
        <v>345</v>
      </c>
      <c r="B318" s="64" t="s">
        <v>11</v>
      </c>
      <c r="C318" s="64" t="s">
        <v>50</v>
      </c>
      <c r="D318" s="64" t="s">
        <v>23</v>
      </c>
      <c r="E318" s="64" t="s">
        <v>14</v>
      </c>
      <c r="F318" s="64" t="s">
        <v>20</v>
      </c>
      <c r="G318" s="67">
        <v>45243</v>
      </c>
      <c r="I318" s="64">
        <v>225.94</v>
      </c>
      <c r="J318" s="64">
        <v>280.7</v>
      </c>
    </row>
    <row r="319" spans="1:10">
      <c r="A319" s="64" t="s">
        <v>346</v>
      </c>
      <c r="B319" s="64" t="s">
        <v>22</v>
      </c>
      <c r="C319" s="64" t="s">
        <v>31</v>
      </c>
      <c r="D319" s="64" t="s">
        <v>42</v>
      </c>
      <c r="E319" s="64" t="s">
        <v>14</v>
      </c>
      <c r="F319" s="64" t="s">
        <v>20</v>
      </c>
      <c r="G319" s="67">
        <v>45244</v>
      </c>
      <c r="H319" s="64">
        <v>242</v>
      </c>
      <c r="I319" s="64">
        <v>170.12</v>
      </c>
      <c r="J319" s="64">
        <v>235.15</v>
      </c>
    </row>
    <row r="320" spans="1:10">
      <c r="A320" s="64" t="s">
        <v>347</v>
      </c>
      <c r="B320" s="64" t="s">
        <v>11</v>
      </c>
      <c r="C320" s="64" t="s">
        <v>50</v>
      </c>
      <c r="D320" s="64" t="s">
        <v>27</v>
      </c>
      <c r="E320" s="64" t="s">
        <v>14</v>
      </c>
      <c r="F320" s="64" t="s">
        <v>15</v>
      </c>
      <c r="G320" s="67">
        <v>45245</v>
      </c>
      <c r="H320" s="64">
        <v>470</v>
      </c>
      <c r="I320" s="64">
        <v>292.33999999999997</v>
      </c>
      <c r="J320" s="64">
        <v>235.42</v>
      </c>
    </row>
    <row r="321" spans="1:10">
      <c r="A321" s="64" t="s">
        <v>348</v>
      </c>
      <c r="B321" s="64" t="s">
        <v>48</v>
      </c>
      <c r="C321" s="64" t="s">
        <v>31</v>
      </c>
      <c r="D321" s="64" t="s">
        <v>27</v>
      </c>
      <c r="E321" s="64" t="s">
        <v>24</v>
      </c>
      <c r="F321" s="64" t="s">
        <v>15</v>
      </c>
      <c r="G321" s="67">
        <v>45246</v>
      </c>
      <c r="H321" s="64">
        <v>423</v>
      </c>
      <c r="I321" s="64">
        <v>48.94</v>
      </c>
      <c r="J321" s="64">
        <v>279.67</v>
      </c>
    </row>
    <row r="322" spans="1:10">
      <c r="A322" s="64" t="s">
        <v>349</v>
      </c>
      <c r="B322" s="64" t="s">
        <v>17</v>
      </c>
      <c r="C322" s="64" t="s">
        <v>31</v>
      </c>
      <c r="D322" s="64" t="s">
        <v>13</v>
      </c>
      <c r="E322" s="64" t="s">
        <v>14</v>
      </c>
      <c r="F322" s="64" t="s">
        <v>20</v>
      </c>
      <c r="G322" s="67">
        <v>45247</v>
      </c>
      <c r="H322" s="64">
        <v>426</v>
      </c>
      <c r="I322" s="64">
        <v>481.02</v>
      </c>
      <c r="J322" s="64">
        <v>371.99</v>
      </c>
    </row>
    <row r="323" spans="1:10">
      <c r="A323" s="64" t="s">
        <v>350</v>
      </c>
      <c r="B323" s="64" t="s">
        <v>22</v>
      </c>
      <c r="C323" s="64" t="s">
        <v>26</v>
      </c>
      <c r="D323" s="64" t="s">
        <v>27</v>
      </c>
      <c r="E323" s="64" t="s">
        <v>24</v>
      </c>
      <c r="F323" s="64" t="s">
        <v>28</v>
      </c>
      <c r="G323" s="67">
        <v>45248</v>
      </c>
      <c r="H323" s="64">
        <v>86</v>
      </c>
      <c r="I323" s="64">
        <v>319.31</v>
      </c>
      <c r="J323" s="64">
        <v>313.47000000000003</v>
      </c>
    </row>
    <row r="324" spans="1:10">
      <c r="A324" s="64" t="s">
        <v>351</v>
      </c>
      <c r="B324" s="64" t="s">
        <v>17</v>
      </c>
      <c r="C324" s="64" t="s">
        <v>12</v>
      </c>
      <c r="D324" s="64" t="s">
        <v>19</v>
      </c>
      <c r="E324" s="64" t="s">
        <v>24</v>
      </c>
      <c r="F324" s="64" t="s">
        <v>15</v>
      </c>
      <c r="G324" s="67">
        <v>45249</v>
      </c>
      <c r="H324" s="64">
        <v>125</v>
      </c>
      <c r="I324" s="64">
        <v>378.64</v>
      </c>
      <c r="J324" s="64">
        <v>24.34</v>
      </c>
    </row>
    <row r="325" spans="1:10">
      <c r="A325" s="64" t="s">
        <v>352</v>
      </c>
      <c r="B325" s="64" t="s">
        <v>48</v>
      </c>
      <c r="C325" s="64" t="s">
        <v>18</v>
      </c>
      <c r="E325" s="64" t="s">
        <v>14</v>
      </c>
      <c r="F325" s="64" t="s">
        <v>15</v>
      </c>
      <c r="G325" s="67">
        <v>45250</v>
      </c>
      <c r="H325" s="64">
        <v>163</v>
      </c>
      <c r="I325" s="64">
        <v>89.39</v>
      </c>
      <c r="J325" s="64">
        <v>341.39</v>
      </c>
    </row>
    <row r="326" spans="1:10">
      <c r="A326" s="64" t="s">
        <v>353</v>
      </c>
      <c r="B326" s="64" t="s">
        <v>48</v>
      </c>
      <c r="C326" s="64" t="s">
        <v>26</v>
      </c>
      <c r="D326" s="64" t="s">
        <v>13</v>
      </c>
      <c r="E326" s="64" t="s">
        <v>24</v>
      </c>
      <c r="F326" s="64" t="s">
        <v>20</v>
      </c>
      <c r="G326" s="67">
        <v>45251</v>
      </c>
      <c r="H326" s="64">
        <v>415</v>
      </c>
      <c r="I326" s="64">
        <v>207.69</v>
      </c>
      <c r="J326" s="64">
        <v>91.77</v>
      </c>
    </row>
    <row r="327" spans="1:10">
      <c r="A327" s="64" t="s">
        <v>354</v>
      </c>
      <c r="B327" s="64" t="s">
        <v>48</v>
      </c>
      <c r="C327" s="64" t="s">
        <v>26</v>
      </c>
      <c r="D327" s="64" t="s">
        <v>27</v>
      </c>
      <c r="E327" s="64" t="s">
        <v>24</v>
      </c>
      <c r="F327" s="64" t="s">
        <v>28</v>
      </c>
      <c r="G327" s="67">
        <v>45252</v>
      </c>
      <c r="H327" s="64">
        <v>112</v>
      </c>
      <c r="I327" s="64">
        <v>214.23</v>
      </c>
      <c r="J327" s="64">
        <v>152.01</v>
      </c>
    </row>
    <row r="328" spans="1:10">
      <c r="A328" s="64" t="s">
        <v>355</v>
      </c>
      <c r="B328" s="64" t="s">
        <v>11</v>
      </c>
      <c r="C328" s="64" t="s">
        <v>12</v>
      </c>
      <c r="D328" s="64" t="s">
        <v>19</v>
      </c>
      <c r="E328" s="64" t="s">
        <v>24</v>
      </c>
      <c r="F328" s="64" t="s">
        <v>20</v>
      </c>
      <c r="G328" s="67">
        <v>45253</v>
      </c>
      <c r="H328" s="64">
        <v>203</v>
      </c>
      <c r="I328" s="64">
        <v>411.79</v>
      </c>
      <c r="J328" s="64">
        <v>185.77</v>
      </c>
    </row>
    <row r="329" spans="1:10">
      <c r="A329" s="64" t="s">
        <v>356</v>
      </c>
      <c r="B329" s="64" t="s">
        <v>11</v>
      </c>
      <c r="C329" s="64" t="s">
        <v>18</v>
      </c>
      <c r="D329" s="64" t="s">
        <v>42</v>
      </c>
      <c r="E329" s="64" t="s">
        <v>24</v>
      </c>
      <c r="F329" s="64" t="s">
        <v>28</v>
      </c>
      <c r="G329" s="67">
        <v>45254</v>
      </c>
      <c r="I329" s="64">
        <v>5.61</v>
      </c>
      <c r="J329" s="64">
        <v>193.4</v>
      </c>
    </row>
    <row r="330" spans="1:10">
      <c r="A330" s="64" t="s">
        <v>357</v>
      </c>
      <c r="B330" s="64" t="s">
        <v>17</v>
      </c>
      <c r="C330" s="64" t="s">
        <v>50</v>
      </c>
      <c r="D330" s="64" t="s">
        <v>13</v>
      </c>
      <c r="E330" s="64" t="s">
        <v>24</v>
      </c>
      <c r="F330" s="64" t="s">
        <v>28</v>
      </c>
      <c r="G330" s="67">
        <v>45255</v>
      </c>
      <c r="H330" s="64">
        <v>368</v>
      </c>
      <c r="I330" s="64">
        <v>153.91999999999999</v>
      </c>
      <c r="J330" s="64">
        <v>175.2</v>
      </c>
    </row>
    <row r="331" spans="1:10">
      <c r="A331" s="64" t="s">
        <v>358</v>
      </c>
      <c r="B331" s="64" t="s">
        <v>17</v>
      </c>
      <c r="C331" s="64" t="s">
        <v>50</v>
      </c>
      <c r="D331" s="64" t="s">
        <v>42</v>
      </c>
      <c r="E331" s="64" t="s">
        <v>24</v>
      </c>
      <c r="F331" s="64" t="s">
        <v>28</v>
      </c>
      <c r="G331" s="67">
        <v>45256</v>
      </c>
      <c r="H331" s="64">
        <v>99</v>
      </c>
      <c r="I331" s="64">
        <v>490.71</v>
      </c>
      <c r="J331" s="64">
        <v>375.07</v>
      </c>
    </row>
    <row r="332" spans="1:10">
      <c r="A332" s="64" t="s">
        <v>359</v>
      </c>
      <c r="B332" s="64" t="s">
        <v>22</v>
      </c>
      <c r="C332" s="64" t="s">
        <v>26</v>
      </c>
      <c r="D332" s="64" t="s">
        <v>42</v>
      </c>
      <c r="E332" s="64" t="s">
        <v>14</v>
      </c>
      <c r="F332" s="64" t="s">
        <v>15</v>
      </c>
      <c r="G332" s="67">
        <v>45257</v>
      </c>
      <c r="H332" s="64">
        <v>183</v>
      </c>
      <c r="I332" s="64">
        <v>240.07</v>
      </c>
      <c r="J332" s="64">
        <v>283</v>
      </c>
    </row>
    <row r="333" spans="1:10">
      <c r="A333" s="64" t="s">
        <v>360</v>
      </c>
      <c r="C333" s="64" t="s">
        <v>18</v>
      </c>
      <c r="D333" s="64" t="s">
        <v>42</v>
      </c>
      <c r="E333" s="64" t="s">
        <v>24</v>
      </c>
      <c r="F333" s="64" t="s">
        <v>20</v>
      </c>
      <c r="G333" s="67">
        <v>45258</v>
      </c>
      <c r="H333" s="64">
        <v>131</v>
      </c>
      <c r="I333" s="64">
        <v>194.35</v>
      </c>
      <c r="J333" s="64">
        <v>253.21</v>
      </c>
    </row>
    <row r="334" spans="1:10">
      <c r="A334" s="64" t="s">
        <v>361</v>
      </c>
      <c r="B334" s="64" t="s">
        <v>17</v>
      </c>
      <c r="C334" s="64" t="s">
        <v>26</v>
      </c>
      <c r="D334" s="64" t="s">
        <v>23</v>
      </c>
      <c r="E334" s="64" t="s">
        <v>24</v>
      </c>
      <c r="F334" s="64" t="s">
        <v>20</v>
      </c>
      <c r="G334" s="67">
        <v>45259</v>
      </c>
      <c r="H334" s="64">
        <v>152</v>
      </c>
      <c r="I334" s="64">
        <v>64.319999999999993</v>
      </c>
      <c r="J334" s="64">
        <v>21.84</v>
      </c>
    </row>
    <row r="335" spans="1:10">
      <c r="A335" s="64" t="s">
        <v>362</v>
      </c>
      <c r="B335" s="64" t="s">
        <v>11</v>
      </c>
      <c r="C335" s="64" t="s">
        <v>31</v>
      </c>
      <c r="D335" s="64" t="s">
        <v>23</v>
      </c>
      <c r="E335" s="64" t="s">
        <v>24</v>
      </c>
      <c r="F335" s="64" t="s">
        <v>28</v>
      </c>
      <c r="G335" s="67">
        <v>45260</v>
      </c>
      <c r="H335" s="64">
        <v>491</v>
      </c>
      <c r="I335" s="64">
        <v>487.21</v>
      </c>
      <c r="J335" s="64">
        <v>361.76</v>
      </c>
    </row>
    <row r="336" spans="1:10">
      <c r="A336" s="64" t="s">
        <v>363</v>
      </c>
      <c r="B336" s="64" t="s">
        <v>48</v>
      </c>
      <c r="C336" s="64" t="s">
        <v>26</v>
      </c>
      <c r="D336" s="64" t="s">
        <v>42</v>
      </c>
      <c r="E336" s="64" t="s">
        <v>14</v>
      </c>
      <c r="F336" s="64" t="s">
        <v>15</v>
      </c>
      <c r="G336" s="67">
        <v>45261</v>
      </c>
      <c r="H336" s="64">
        <v>115</v>
      </c>
      <c r="I336" s="64">
        <v>14.91</v>
      </c>
      <c r="J336" s="64">
        <v>363.94</v>
      </c>
    </row>
    <row r="337" spans="1:10">
      <c r="A337" s="64" t="s">
        <v>364</v>
      </c>
      <c r="B337" s="64" t="s">
        <v>17</v>
      </c>
      <c r="C337" s="64" t="s">
        <v>26</v>
      </c>
      <c r="D337" s="64" t="s">
        <v>13</v>
      </c>
      <c r="E337" s="64" t="s">
        <v>24</v>
      </c>
      <c r="F337" s="64" t="s">
        <v>15</v>
      </c>
      <c r="G337" s="67">
        <v>45262</v>
      </c>
      <c r="H337" s="64">
        <v>384</v>
      </c>
      <c r="I337" s="64">
        <v>369.9</v>
      </c>
      <c r="J337" s="64">
        <v>312.52</v>
      </c>
    </row>
    <row r="338" spans="1:10">
      <c r="A338" s="64" t="s">
        <v>365</v>
      </c>
      <c r="B338" s="64" t="s">
        <v>22</v>
      </c>
      <c r="C338" s="64" t="s">
        <v>50</v>
      </c>
      <c r="D338" s="64" t="s">
        <v>19</v>
      </c>
      <c r="E338" s="64" t="s">
        <v>14</v>
      </c>
      <c r="F338" s="64" t="s">
        <v>20</v>
      </c>
      <c r="G338" s="67">
        <v>45263</v>
      </c>
      <c r="H338" s="64">
        <v>437</v>
      </c>
      <c r="I338" s="64">
        <v>385.46</v>
      </c>
      <c r="J338" s="64">
        <v>4.8</v>
      </c>
    </row>
    <row r="339" spans="1:10">
      <c r="A339" s="64" t="s">
        <v>366</v>
      </c>
      <c r="B339" s="64" t="s">
        <v>11</v>
      </c>
      <c r="C339" s="64" t="s">
        <v>50</v>
      </c>
      <c r="D339" s="64" t="s">
        <v>19</v>
      </c>
      <c r="E339" s="64" t="s">
        <v>24</v>
      </c>
      <c r="F339" s="64" t="s">
        <v>15</v>
      </c>
      <c r="G339" s="67">
        <v>45264</v>
      </c>
      <c r="H339" s="64">
        <v>314</v>
      </c>
      <c r="I339" s="64">
        <v>125.61</v>
      </c>
      <c r="J339" s="64">
        <v>24.8</v>
      </c>
    </row>
    <row r="340" spans="1:10">
      <c r="A340" s="64" t="s">
        <v>367</v>
      </c>
      <c r="B340" s="64" t="s">
        <v>17</v>
      </c>
      <c r="C340" s="64" t="s">
        <v>50</v>
      </c>
      <c r="D340" s="64" t="s">
        <v>27</v>
      </c>
      <c r="E340" s="64" t="s">
        <v>14</v>
      </c>
      <c r="F340" s="64" t="s">
        <v>15</v>
      </c>
      <c r="G340" s="67">
        <v>45265</v>
      </c>
      <c r="H340" s="64">
        <v>369</v>
      </c>
      <c r="I340" s="64">
        <v>337.42</v>
      </c>
      <c r="J340" s="64">
        <v>91.64</v>
      </c>
    </row>
    <row r="341" spans="1:10">
      <c r="A341" s="64" t="s">
        <v>368</v>
      </c>
      <c r="B341" s="64" t="s">
        <v>17</v>
      </c>
      <c r="C341" s="64" t="s">
        <v>31</v>
      </c>
      <c r="D341" s="64" t="s">
        <v>13</v>
      </c>
      <c r="E341" s="64" t="s">
        <v>14</v>
      </c>
      <c r="F341" s="64" t="s">
        <v>28</v>
      </c>
      <c r="G341" s="67">
        <v>45266</v>
      </c>
      <c r="H341" s="64">
        <v>468</v>
      </c>
      <c r="I341" s="64">
        <v>51</v>
      </c>
      <c r="J341" s="64">
        <v>54.28</v>
      </c>
    </row>
    <row r="342" spans="1:10">
      <c r="A342" s="64" t="s">
        <v>369</v>
      </c>
      <c r="B342" s="64" t="s">
        <v>11</v>
      </c>
      <c r="C342" s="64" t="s">
        <v>50</v>
      </c>
      <c r="D342" s="64" t="s">
        <v>23</v>
      </c>
      <c r="E342" s="64" t="s">
        <v>24</v>
      </c>
      <c r="F342" s="64" t="s">
        <v>15</v>
      </c>
      <c r="G342" s="67">
        <v>45267</v>
      </c>
      <c r="H342" s="64">
        <v>326</v>
      </c>
      <c r="I342" s="64">
        <v>132.24</v>
      </c>
      <c r="J342" s="64">
        <v>160.74</v>
      </c>
    </row>
    <row r="343" spans="1:10">
      <c r="A343" s="64" t="s">
        <v>370</v>
      </c>
      <c r="B343" s="64" t="s">
        <v>17</v>
      </c>
      <c r="C343" s="64" t="s">
        <v>18</v>
      </c>
      <c r="D343" s="64" t="s">
        <v>42</v>
      </c>
      <c r="E343" s="64" t="s">
        <v>24</v>
      </c>
      <c r="F343" s="64" t="s">
        <v>28</v>
      </c>
      <c r="G343" s="67">
        <v>45268</v>
      </c>
      <c r="H343" s="64">
        <v>460</v>
      </c>
      <c r="I343" s="64">
        <v>395.01</v>
      </c>
      <c r="J343" s="64">
        <v>369.2</v>
      </c>
    </row>
    <row r="344" spans="1:10">
      <c r="A344" s="64" t="s">
        <v>371</v>
      </c>
      <c r="B344" s="64" t="s">
        <v>11</v>
      </c>
      <c r="C344" s="64" t="s">
        <v>12</v>
      </c>
      <c r="D344" s="64" t="s">
        <v>27</v>
      </c>
      <c r="E344" s="64" t="s">
        <v>14</v>
      </c>
      <c r="F344" s="64" t="s">
        <v>20</v>
      </c>
      <c r="G344" s="67">
        <v>45269</v>
      </c>
      <c r="H344" s="64">
        <v>132</v>
      </c>
      <c r="I344" s="64">
        <v>433.02</v>
      </c>
      <c r="J344" s="64">
        <v>189.88</v>
      </c>
    </row>
    <row r="345" spans="1:10">
      <c r="A345" s="64" t="s">
        <v>372</v>
      </c>
      <c r="B345" s="64" t="s">
        <v>48</v>
      </c>
      <c r="C345" s="64" t="s">
        <v>18</v>
      </c>
      <c r="D345" s="64" t="s">
        <v>19</v>
      </c>
      <c r="E345" s="64" t="s">
        <v>24</v>
      </c>
      <c r="F345" s="64" t="s">
        <v>15</v>
      </c>
      <c r="G345" s="67">
        <v>45270</v>
      </c>
      <c r="H345" s="64">
        <v>399</v>
      </c>
      <c r="I345" s="64">
        <v>306.2</v>
      </c>
      <c r="J345" s="64">
        <v>7.33</v>
      </c>
    </row>
    <row r="346" spans="1:10">
      <c r="A346" s="64" t="s">
        <v>373</v>
      </c>
      <c r="B346" s="64" t="s">
        <v>11</v>
      </c>
      <c r="C346" s="64" t="s">
        <v>18</v>
      </c>
      <c r="D346" s="64" t="s">
        <v>23</v>
      </c>
      <c r="E346" s="64" t="s">
        <v>14</v>
      </c>
      <c r="F346" s="64" t="s">
        <v>20</v>
      </c>
      <c r="G346" s="67">
        <v>45271</v>
      </c>
      <c r="H346" s="64">
        <v>18</v>
      </c>
      <c r="I346" s="64">
        <v>255.89</v>
      </c>
      <c r="J346" s="64">
        <v>114.53</v>
      </c>
    </row>
    <row r="347" spans="1:10">
      <c r="A347" s="64" t="s">
        <v>374</v>
      </c>
      <c r="B347" s="64" t="s">
        <v>11</v>
      </c>
      <c r="C347" s="64" t="s">
        <v>50</v>
      </c>
      <c r="D347" s="64" t="s">
        <v>23</v>
      </c>
      <c r="E347" s="64" t="s">
        <v>14</v>
      </c>
      <c r="F347" s="64" t="s">
        <v>20</v>
      </c>
      <c r="G347" s="67">
        <v>45272</v>
      </c>
      <c r="H347" s="64">
        <v>271</v>
      </c>
      <c r="I347" s="64">
        <v>83.86</v>
      </c>
      <c r="J347" s="64">
        <v>19.75</v>
      </c>
    </row>
    <row r="348" spans="1:10">
      <c r="A348" s="64" t="s">
        <v>375</v>
      </c>
      <c r="C348" s="64" t="s">
        <v>12</v>
      </c>
      <c r="D348" s="64" t="s">
        <v>42</v>
      </c>
      <c r="E348" s="64" t="s">
        <v>14</v>
      </c>
      <c r="F348" s="64" t="s">
        <v>15</v>
      </c>
      <c r="G348" s="67">
        <v>45273</v>
      </c>
      <c r="H348" s="64">
        <v>82</v>
      </c>
      <c r="I348" s="64">
        <v>36.24</v>
      </c>
      <c r="J348" s="64">
        <v>16.440000000000001</v>
      </c>
    </row>
    <row r="349" spans="1:10">
      <c r="A349" s="64" t="s">
        <v>376</v>
      </c>
      <c r="B349" s="64" t="s">
        <v>17</v>
      </c>
      <c r="C349" s="64" t="s">
        <v>12</v>
      </c>
      <c r="D349" s="64" t="s">
        <v>19</v>
      </c>
      <c r="E349" s="64" t="s">
        <v>14</v>
      </c>
      <c r="F349" s="64" t="s">
        <v>15</v>
      </c>
      <c r="G349" s="67">
        <v>45274</v>
      </c>
      <c r="H349" s="64">
        <v>368</v>
      </c>
      <c r="I349" s="64">
        <v>63.24</v>
      </c>
      <c r="J349" s="64">
        <v>111.74</v>
      </c>
    </row>
    <row r="350" spans="1:10">
      <c r="A350" s="64" t="s">
        <v>377</v>
      </c>
      <c r="B350" s="64" t="s">
        <v>17</v>
      </c>
      <c r="C350" s="64" t="s">
        <v>12</v>
      </c>
      <c r="D350" s="64" t="s">
        <v>13</v>
      </c>
      <c r="E350" s="64" t="s">
        <v>14</v>
      </c>
      <c r="F350" s="64" t="s">
        <v>20</v>
      </c>
      <c r="G350" s="67">
        <v>45275</v>
      </c>
      <c r="H350" s="64">
        <v>232</v>
      </c>
      <c r="I350" s="64">
        <v>117.54</v>
      </c>
      <c r="J350" s="64">
        <v>111.69</v>
      </c>
    </row>
    <row r="351" spans="1:10">
      <c r="A351" s="64" t="s">
        <v>378</v>
      </c>
      <c r="B351" s="64" t="s">
        <v>11</v>
      </c>
      <c r="C351" s="64" t="s">
        <v>31</v>
      </c>
      <c r="D351" s="64" t="s">
        <v>23</v>
      </c>
      <c r="E351" s="64" t="s">
        <v>24</v>
      </c>
      <c r="F351" s="64" t="s">
        <v>15</v>
      </c>
      <c r="G351" s="67">
        <v>45276</v>
      </c>
      <c r="H351" s="64">
        <v>425</v>
      </c>
      <c r="I351" s="64">
        <v>174.13</v>
      </c>
      <c r="J351" s="64">
        <v>315.27999999999997</v>
      </c>
    </row>
  </sheetData>
  <conditionalFormatting sqref="A1:J351">
    <cfRule type="containsBlanks" dxfId="32" priority="1">
      <formula>LEN(TRIM(A1))=0</formula>
    </cfRule>
    <cfRule type="containsBlanks" dxfId="31" priority="2">
      <formula>LEN(TRIM(A1))=0</formula>
    </cfRule>
    <cfRule type="cellIs" dxfId="30" priority="3" operator="equal">
      <formula>(blank)</formula>
    </cfRule>
    <cfRule type="cellIs" dxfId="29" priority="4" operator="equal">
      <formula>"( 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5"/>
  <sheetViews>
    <sheetView workbookViewId="0">
      <selection activeCell="F17" sqref="F17"/>
    </sheetView>
  </sheetViews>
  <sheetFormatPr defaultRowHeight="15"/>
  <cols>
    <col min="2" max="2" width="16.7109375" bestFit="1" customWidth="1"/>
    <col min="3" max="3" width="23.85546875" bestFit="1" customWidth="1"/>
    <col min="4" max="4" width="22" bestFit="1" customWidth="1"/>
    <col min="7" max="7" width="18.140625" bestFit="1" customWidth="1"/>
    <col min="11" max="11" width="16.7109375" bestFit="1" customWidth="1"/>
    <col min="12" max="12" width="19.28515625" customWidth="1"/>
    <col min="13" max="13" width="26.28515625" customWidth="1"/>
    <col min="14" max="14" width="22" bestFit="1" customWidth="1"/>
  </cols>
  <sheetData>
    <row r="2" spans="2:6" ht="18" customHeight="1">
      <c r="B2" s="38" t="s">
        <v>379</v>
      </c>
      <c r="C2" s="38"/>
      <c r="D2" s="38"/>
      <c r="E2" s="38"/>
      <c r="F2" s="38"/>
    </row>
    <row r="3" spans="2:6" ht="18" customHeight="1">
      <c r="B3" s="38"/>
      <c r="C3" s="38"/>
      <c r="D3" s="38"/>
      <c r="E3" s="38"/>
      <c r="F3" s="38"/>
    </row>
    <row r="5" spans="2:6" ht="18.75">
      <c r="B5" s="10" t="s">
        <v>380</v>
      </c>
      <c r="C5" s="10" t="s">
        <v>381</v>
      </c>
      <c r="D5" s="11" t="s">
        <v>382</v>
      </c>
    </row>
    <row r="6" spans="2:6">
      <c r="B6" s="12" t="s">
        <v>0</v>
      </c>
      <c r="C6" s="13">
        <v>0</v>
      </c>
      <c r="D6" s="14">
        <v>0</v>
      </c>
    </row>
    <row r="7" spans="2:6">
      <c r="B7" s="12" t="s">
        <v>1</v>
      </c>
      <c r="C7" s="13">
        <v>10</v>
      </c>
      <c r="D7" s="14">
        <v>2.8571428569999999</v>
      </c>
    </row>
    <row r="8" spans="2:6">
      <c r="B8" s="12" t="s">
        <v>383</v>
      </c>
      <c r="C8" s="13">
        <v>0</v>
      </c>
      <c r="D8" s="14">
        <v>0</v>
      </c>
    </row>
    <row r="9" spans="2:6">
      <c r="B9" s="12" t="s">
        <v>3</v>
      </c>
      <c r="C9" s="13">
        <v>10</v>
      </c>
      <c r="D9" s="14">
        <v>2.8571428569999999</v>
      </c>
    </row>
    <row r="10" spans="2:6">
      <c r="B10" s="12" t="s">
        <v>4</v>
      </c>
      <c r="C10" s="13">
        <v>0</v>
      </c>
      <c r="D10" s="14">
        <v>0</v>
      </c>
    </row>
    <row r="11" spans="2:6">
      <c r="B11" s="12" t="s">
        <v>5</v>
      </c>
      <c r="C11" s="13">
        <v>0</v>
      </c>
      <c r="D11" s="14">
        <v>0</v>
      </c>
    </row>
    <row r="12" spans="2:6">
      <c r="B12" s="12" t="s">
        <v>6</v>
      </c>
      <c r="C12" s="13">
        <v>0</v>
      </c>
      <c r="D12" s="14">
        <v>0</v>
      </c>
    </row>
    <row r="13" spans="2:6">
      <c r="B13" s="12" t="s">
        <v>384</v>
      </c>
      <c r="C13" s="13">
        <v>10</v>
      </c>
      <c r="D13" s="14">
        <v>2.8571428569999999</v>
      </c>
    </row>
    <row r="14" spans="2:6">
      <c r="B14" s="12" t="s">
        <v>385</v>
      </c>
      <c r="C14" s="13">
        <v>10</v>
      </c>
      <c r="D14" s="14">
        <v>2.8571428569999999</v>
      </c>
    </row>
    <row r="15" spans="2:6">
      <c r="B15" s="12" t="s">
        <v>9</v>
      </c>
      <c r="C15" s="13">
        <v>0</v>
      </c>
      <c r="D15" s="14">
        <v>0</v>
      </c>
    </row>
  </sheetData>
  <mergeCells count="1">
    <mergeCell ref="B2:F3"/>
  </mergeCells>
  <conditionalFormatting sqref="B5:C5">
    <cfRule type="containsBlanks" dxfId="28" priority="1">
      <formula>LEN(TRIM(B5))=0</formula>
    </cfRule>
    <cfRule type="containsBlanks" dxfId="27" priority="2">
      <formula>LEN(TRIM(B5))=0</formula>
    </cfRule>
    <cfRule type="cellIs" dxfId="26" priority="3" operator="equal">
      <formula>(blank)</formula>
    </cfRule>
    <cfRule type="cellIs" dxfId="25" priority="4" operator="equal">
      <formula>"( 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51"/>
  <sheetViews>
    <sheetView zoomScale="77" zoomScaleNormal="98" workbookViewId="0">
      <selection activeCell="N25" sqref="A1:XFD1048576"/>
    </sheetView>
  </sheetViews>
  <sheetFormatPr defaultRowHeight="21"/>
  <cols>
    <col min="1" max="1" width="12.5703125" style="64" customWidth="1"/>
    <col min="2" max="3" width="9.140625" style="64"/>
    <col min="4" max="4" width="14.85546875" style="64" customWidth="1"/>
    <col min="5" max="6" width="9.140625" style="64"/>
    <col min="7" max="7" width="41.5703125" style="64" customWidth="1"/>
    <col min="8" max="11" width="9.140625" style="64"/>
    <col min="12" max="12" width="11.7109375" style="64" customWidth="1"/>
    <col min="13" max="13" width="10.140625" style="64" bestFit="1" customWidth="1"/>
    <col min="14" max="14" width="10.85546875" style="64" customWidth="1"/>
    <col min="15" max="15" width="10.42578125" style="64" bestFit="1" customWidth="1"/>
    <col min="16" max="16" width="11.28515625" style="64" bestFit="1" customWidth="1"/>
    <col min="17" max="18" width="9.140625" style="64"/>
    <col min="19" max="19" width="16.5703125" style="64" bestFit="1" customWidth="1"/>
    <col min="20" max="16384" width="9.140625" style="64"/>
  </cols>
  <sheetData>
    <row r="1" spans="1:20" ht="0.75" customHeight="1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64" t="s">
        <v>9</v>
      </c>
    </row>
    <row r="2" spans="1:20">
      <c r="A2" s="64" t="s">
        <v>10</v>
      </c>
      <c r="B2" s="64" t="s">
        <v>11</v>
      </c>
      <c r="C2" s="64" t="s">
        <v>12</v>
      </c>
      <c r="D2" s="64" t="s">
        <v>13</v>
      </c>
      <c r="E2" s="64" t="s">
        <v>14</v>
      </c>
      <c r="F2" s="64" t="s">
        <v>15</v>
      </c>
      <c r="G2" s="64">
        <v>44927</v>
      </c>
      <c r="H2" s="64">
        <v>235</v>
      </c>
      <c r="I2" s="64">
        <v>152.91999999999999</v>
      </c>
      <c r="J2" s="64">
        <v>153.6</v>
      </c>
    </row>
    <row r="3" spans="1:20" ht="18" customHeight="1">
      <c r="A3" s="64" t="s">
        <v>16</v>
      </c>
      <c r="B3" s="64" t="s">
        <v>17</v>
      </c>
      <c r="C3" s="64" t="s">
        <v>18</v>
      </c>
      <c r="D3" s="64" t="s">
        <v>19</v>
      </c>
      <c r="E3" s="64" t="s">
        <v>14</v>
      </c>
      <c r="F3" s="64" t="s">
        <v>20</v>
      </c>
      <c r="G3" s="64">
        <v>44928</v>
      </c>
      <c r="H3" s="64">
        <v>341</v>
      </c>
      <c r="I3" s="64">
        <v>467.92</v>
      </c>
      <c r="J3" s="64">
        <v>139.84</v>
      </c>
      <c r="L3" s="65" t="s">
        <v>386</v>
      </c>
      <c r="M3" s="65"/>
      <c r="N3" s="65"/>
      <c r="O3" s="65"/>
      <c r="P3" s="65"/>
      <c r="Q3" s="65"/>
      <c r="R3" s="65"/>
      <c r="S3" s="65"/>
      <c r="T3" s="65"/>
    </row>
    <row r="4" spans="1:20" ht="18" customHeight="1">
      <c r="A4" s="64" t="s">
        <v>21</v>
      </c>
      <c r="B4" s="64" t="s">
        <v>22</v>
      </c>
      <c r="C4" s="64" t="s">
        <v>18</v>
      </c>
      <c r="D4" s="64" t="s">
        <v>23</v>
      </c>
      <c r="E4" s="64" t="s">
        <v>24</v>
      </c>
      <c r="F4" s="64" t="s">
        <v>15</v>
      </c>
      <c r="G4" s="64">
        <v>44929</v>
      </c>
      <c r="H4" s="64">
        <v>179</v>
      </c>
      <c r="I4" s="64">
        <v>473.94</v>
      </c>
      <c r="J4" s="64">
        <v>97.14</v>
      </c>
      <c r="L4" s="65"/>
      <c r="M4" s="65"/>
      <c r="N4" s="65"/>
      <c r="O4" s="65"/>
      <c r="P4" s="65"/>
      <c r="Q4" s="65"/>
      <c r="R4" s="65"/>
      <c r="S4" s="65"/>
      <c r="T4" s="65"/>
    </row>
    <row r="5" spans="1:20">
      <c r="A5" s="64" t="s">
        <v>25</v>
      </c>
      <c r="B5" s="64" t="s">
        <v>11</v>
      </c>
      <c r="C5" s="64" t="s">
        <v>26</v>
      </c>
      <c r="D5" s="64" t="s">
        <v>27</v>
      </c>
      <c r="E5" s="64" t="s">
        <v>24</v>
      </c>
      <c r="F5" s="64" t="s">
        <v>28</v>
      </c>
      <c r="G5" s="64">
        <v>44930</v>
      </c>
      <c r="H5" s="64">
        <v>18</v>
      </c>
      <c r="I5" s="64">
        <v>314.52999999999997</v>
      </c>
      <c r="J5" s="64">
        <v>204.87</v>
      </c>
    </row>
    <row r="6" spans="1:20">
      <c r="A6" s="64" t="s">
        <v>29</v>
      </c>
      <c r="B6" s="64" t="s">
        <v>11</v>
      </c>
      <c r="C6" s="64" t="s">
        <v>18</v>
      </c>
      <c r="D6" s="64" t="s">
        <v>27</v>
      </c>
      <c r="E6" s="64" t="s">
        <v>24</v>
      </c>
      <c r="F6" s="64" t="s">
        <v>28</v>
      </c>
      <c r="G6" s="64">
        <v>44931</v>
      </c>
      <c r="H6" s="64">
        <v>472</v>
      </c>
      <c r="I6" s="64">
        <v>392.79</v>
      </c>
      <c r="J6" s="64">
        <v>330.46</v>
      </c>
      <c r="L6" s="64" t="s">
        <v>387</v>
      </c>
    </row>
    <row r="7" spans="1:20">
      <c r="A7" s="64" t="s">
        <v>30</v>
      </c>
      <c r="B7" s="64" t="s">
        <v>17</v>
      </c>
      <c r="C7" s="64" t="s">
        <v>31</v>
      </c>
      <c r="D7" s="64" t="s">
        <v>23</v>
      </c>
      <c r="E7" s="64" t="s">
        <v>14</v>
      </c>
      <c r="F7" s="64" t="s">
        <v>15</v>
      </c>
      <c r="G7" s="64">
        <v>44932</v>
      </c>
      <c r="H7" s="64">
        <v>49</v>
      </c>
      <c r="I7" s="64">
        <v>308.07</v>
      </c>
      <c r="J7" s="64">
        <v>113.32</v>
      </c>
    </row>
    <row r="8" spans="1:20">
      <c r="A8" s="64" t="s">
        <v>32</v>
      </c>
      <c r="B8" s="64" t="s">
        <v>22</v>
      </c>
      <c r="C8" s="64" t="s">
        <v>12</v>
      </c>
      <c r="D8" s="64" t="s">
        <v>23</v>
      </c>
      <c r="E8" s="64" t="s">
        <v>14</v>
      </c>
      <c r="F8" s="64" t="s">
        <v>20</v>
      </c>
      <c r="G8" s="64">
        <v>44933</v>
      </c>
      <c r="H8" s="64">
        <v>34</v>
      </c>
      <c r="I8" s="64">
        <v>244.78</v>
      </c>
      <c r="J8" s="64">
        <v>377.07</v>
      </c>
      <c r="L8" s="64" t="s">
        <v>0</v>
      </c>
      <c r="M8" s="64" t="s">
        <v>1</v>
      </c>
      <c r="O8" s="64" t="s">
        <v>0</v>
      </c>
      <c r="P8" s="64" t="s">
        <v>3</v>
      </c>
    </row>
    <row r="9" spans="1:20">
      <c r="A9" s="64" t="s">
        <v>33</v>
      </c>
      <c r="B9" s="64" t="s">
        <v>22</v>
      </c>
      <c r="C9" s="64" t="s">
        <v>18</v>
      </c>
      <c r="D9" s="64" t="s">
        <v>13</v>
      </c>
      <c r="E9" s="64" t="s">
        <v>14</v>
      </c>
      <c r="F9" s="64" t="s">
        <v>15</v>
      </c>
      <c r="G9" s="64">
        <v>44934</v>
      </c>
      <c r="H9" s="64">
        <v>270</v>
      </c>
      <c r="I9" s="64">
        <v>332.11</v>
      </c>
      <c r="J9" s="64">
        <v>349.59</v>
      </c>
      <c r="L9" s="64" t="s">
        <v>35</v>
      </c>
      <c r="M9" s="64" t="s">
        <v>17</v>
      </c>
      <c r="O9" s="64" t="s">
        <v>53</v>
      </c>
      <c r="P9" s="64" t="s">
        <v>13</v>
      </c>
    </row>
    <row r="10" spans="1:20">
      <c r="A10" s="64" t="s">
        <v>34</v>
      </c>
      <c r="B10" s="64" t="s">
        <v>11</v>
      </c>
      <c r="C10" s="64" t="s">
        <v>18</v>
      </c>
      <c r="D10" s="64" t="s">
        <v>13</v>
      </c>
      <c r="E10" s="64" t="s">
        <v>14</v>
      </c>
      <c r="F10" s="64" t="s">
        <v>20</v>
      </c>
      <c r="G10" s="64">
        <v>44935</v>
      </c>
      <c r="H10" s="64">
        <v>404</v>
      </c>
      <c r="I10" s="64">
        <v>278.74</v>
      </c>
      <c r="J10" s="64">
        <v>66.38</v>
      </c>
      <c r="L10" s="64" t="s">
        <v>44</v>
      </c>
      <c r="M10" s="64" t="s">
        <v>17</v>
      </c>
      <c r="O10" s="64" t="s">
        <v>187</v>
      </c>
      <c r="P10" s="64" t="s">
        <v>13</v>
      </c>
    </row>
    <row r="11" spans="1:20">
      <c r="A11" s="64" t="s">
        <v>35</v>
      </c>
      <c r="B11" s="64" t="s">
        <v>388</v>
      </c>
      <c r="C11" s="64" t="s">
        <v>26</v>
      </c>
      <c r="D11" s="64" t="s">
        <v>27</v>
      </c>
      <c r="E11" s="64" t="s">
        <v>14</v>
      </c>
      <c r="F11" s="64" t="s">
        <v>28</v>
      </c>
      <c r="G11" s="64">
        <v>44936</v>
      </c>
      <c r="H11" s="64">
        <v>452</v>
      </c>
      <c r="I11" s="64">
        <v>300.75</v>
      </c>
      <c r="J11" s="64">
        <v>314.94</v>
      </c>
      <c r="L11" s="64" t="s">
        <v>59</v>
      </c>
      <c r="M11" s="64" t="s">
        <v>17</v>
      </c>
      <c r="O11" s="64" t="s">
        <v>239</v>
      </c>
      <c r="P11" s="64" t="s">
        <v>13</v>
      </c>
    </row>
    <row r="12" spans="1:20">
      <c r="A12" s="64" t="s">
        <v>36</v>
      </c>
      <c r="B12" s="64" t="s">
        <v>11</v>
      </c>
      <c r="C12" s="64" t="s">
        <v>26</v>
      </c>
      <c r="D12" s="64" t="s">
        <v>19</v>
      </c>
      <c r="E12" s="64" t="s">
        <v>14</v>
      </c>
      <c r="F12" s="64" t="s">
        <v>20</v>
      </c>
      <c r="G12" s="64">
        <v>44937</v>
      </c>
      <c r="H12" s="64">
        <v>235</v>
      </c>
      <c r="I12" s="64">
        <v>393</v>
      </c>
      <c r="J12" s="64">
        <v>230.69</v>
      </c>
      <c r="L12" s="64" t="s">
        <v>78</v>
      </c>
      <c r="M12" s="64" t="s">
        <v>17</v>
      </c>
      <c r="O12" s="64" t="s">
        <v>281</v>
      </c>
      <c r="P12" s="64" t="s">
        <v>13</v>
      </c>
    </row>
    <row r="13" spans="1:20">
      <c r="A13" s="64" t="s">
        <v>37</v>
      </c>
      <c r="B13" s="64" t="s">
        <v>11</v>
      </c>
      <c r="C13" s="64" t="s">
        <v>31</v>
      </c>
      <c r="D13" s="64" t="s">
        <v>27</v>
      </c>
      <c r="E13" s="64" t="s">
        <v>24</v>
      </c>
      <c r="F13" s="64" t="s">
        <v>28</v>
      </c>
      <c r="G13" s="64">
        <v>44938</v>
      </c>
      <c r="H13" s="64">
        <v>481</v>
      </c>
      <c r="I13" s="64">
        <v>243.05</v>
      </c>
      <c r="J13" s="64">
        <v>227.5</v>
      </c>
      <c r="L13" s="64" t="s">
        <v>92</v>
      </c>
      <c r="M13" s="64" t="s">
        <v>17</v>
      </c>
      <c r="O13" s="64" t="s">
        <v>292</v>
      </c>
      <c r="P13" s="64" t="s">
        <v>13</v>
      </c>
    </row>
    <row r="14" spans="1:20">
      <c r="A14" s="64" t="s">
        <v>38</v>
      </c>
      <c r="B14" s="64" t="s">
        <v>11</v>
      </c>
      <c r="C14" s="64" t="s">
        <v>12</v>
      </c>
      <c r="D14" s="64" t="s">
        <v>19</v>
      </c>
      <c r="E14" s="64" t="s">
        <v>24</v>
      </c>
      <c r="F14" s="64" t="s">
        <v>20</v>
      </c>
      <c r="G14" s="64">
        <v>44939</v>
      </c>
      <c r="H14" s="64">
        <v>133</v>
      </c>
      <c r="I14" s="64">
        <v>25.17</v>
      </c>
      <c r="J14" s="64">
        <v>157.63999999999999</v>
      </c>
      <c r="L14" s="64" t="s">
        <v>146</v>
      </c>
      <c r="M14" s="64" t="s">
        <v>17</v>
      </c>
      <c r="O14" s="64" t="s">
        <v>312</v>
      </c>
      <c r="P14" s="64" t="s">
        <v>13</v>
      </c>
    </row>
    <row r="15" spans="1:20">
      <c r="A15" s="64" t="s">
        <v>39</v>
      </c>
      <c r="B15" s="64" t="s">
        <v>11</v>
      </c>
      <c r="C15" s="64" t="s">
        <v>26</v>
      </c>
      <c r="D15" s="64" t="s">
        <v>19</v>
      </c>
      <c r="E15" s="64" t="s">
        <v>24</v>
      </c>
      <c r="F15" s="64" t="s">
        <v>20</v>
      </c>
      <c r="G15" s="64">
        <v>44940</v>
      </c>
      <c r="H15" s="64">
        <v>472</v>
      </c>
      <c r="I15" s="64">
        <v>86.18</v>
      </c>
      <c r="J15" s="64">
        <v>201.46</v>
      </c>
      <c r="L15" s="64" t="s">
        <v>150</v>
      </c>
      <c r="M15" s="64" t="s">
        <v>17</v>
      </c>
      <c r="O15" s="64" t="s">
        <v>334</v>
      </c>
      <c r="P15" s="64" t="s">
        <v>13</v>
      </c>
    </row>
    <row r="16" spans="1:20">
      <c r="A16" s="64" t="s">
        <v>40</v>
      </c>
      <c r="B16" s="64" t="s">
        <v>17</v>
      </c>
      <c r="C16" s="64" t="s">
        <v>18</v>
      </c>
      <c r="D16" s="64" t="s">
        <v>13</v>
      </c>
      <c r="E16" s="64" t="s">
        <v>24</v>
      </c>
      <c r="F16" s="64" t="s">
        <v>20</v>
      </c>
      <c r="G16" s="64">
        <v>44941</v>
      </c>
      <c r="H16" s="64">
        <v>47</v>
      </c>
      <c r="I16" s="64">
        <v>222.11</v>
      </c>
      <c r="J16" s="64">
        <v>160.08000000000001</v>
      </c>
      <c r="L16" s="64" t="s">
        <v>250</v>
      </c>
      <c r="M16" s="64" t="s">
        <v>17</v>
      </c>
      <c r="O16" s="64" t="s">
        <v>335</v>
      </c>
      <c r="P16" s="64" t="s">
        <v>13</v>
      </c>
    </row>
    <row r="17" spans="1:16">
      <c r="A17" s="64" t="s">
        <v>41</v>
      </c>
      <c r="B17" s="64" t="s">
        <v>22</v>
      </c>
      <c r="C17" s="64" t="s">
        <v>12</v>
      </c>
      <c r="D17" s="64" t="s">
        <v>42</v>
      </c>
      <c r="E17" s="64" t="s">
        <v>14</v>
      </c>
      <c r="F17" s="64" t="s">
        <v>15</v>
      </c>
      <c r="G17" s="64">
        <v>44942</v>
      </c>
      <c r="H17" s="64">
        <v>337</v>
      </c>
      <c r="I17" s="64">
        <v>363.79</v>
      </c>
      <c r="J17" s="64">
        <v>216.81</v>
      </c>
      <c r="L17" s="64" t="s">
        <v>360</v>
      </c>
      <c r="M17" s="64" t="s">
        <v>17</v>
      </c>
      <c r="O17" s="64" t="s">
        <v>336</v>
      </c>
      <c r="P17" s="64" t="s">
        <v>13</v>
      </c>
    </row>
    <row r="18" spans="1:16">
      <c r="A18" s="64" t="s">
        <v>43</v>
      </c>
      <c r="B18" s="64" t="s">
        <v>17</v>
      </c>
      <c r="C18" s="64" t="s">
        <v>12</v>
      </c>
      <c r="D18" s="64" t="s">
        <v>42</v>
      </c>
      <c r="E18" s="64" t="s">
        <v>14</v>
      </c>
      <c r="F18" s="64" t="s">
        <v>15</v>
      </c>
      <c r="G18" s="64">
        <v>44943</v>
      </c>
      <c r="H18" s="64">
        <v>260</v>
      </c>
      <c r="I18" s="64">
        <v>298.67</v>
      </c>
      <c r="J18" s="64">
        <v>251.92</v>
      </c>
      <c r="L18" s="64" t="s">
        <v>375</v>
      </c>
      <c r="M18" s="64" t="s">
        <v>17</v>
      </c>
      <c r="O18" s="64" t="s">
        <v>352</v>
      </c>
      <c r="P18" s="64" t="s">
        <v>13</v>
      </c>
    </row>
    <row r="19" spans="1:16">
      <c r="A19" s="64" t="s">
        <v>44</v>
      </c>
      <c r="B19" s="64" t="s">
        <v>388</v>
      </c>
      <c r="C19" s="64" t="s">
        <v>18</v>
      </c>
      <c r="D19" s="64" t="s">
        <v>23</v>
      </c>
      <c r="E19" s="64" t="s">
        <v>24</v>
      </c>
      <c r="F19" s="64" t="s">
        <v>28</v>
      </c>
      <c r="G19" s="64">
        <v>44944</v>
      </c>
      <c r="H19" s="64">
        <v>398</v>
      </c>
      <c r="I19" s="64">
        <v>326.89999999999998</v>
      </c>
      <c r="J19" s="64">
        <v>270.37</v>
      </c>
    </row>
    <row r="20" spans="1:16">
      <c r="A20" s="64" t="s">
        <v>45</v>
      </c>
      <c r="B20" s="64" t="s">
        <v>17</v>
      </c>
      <c r="C20" s="64" t="s">
        <v>26</v>
      </c>
      <c r="D20" s="64" t="s">
        <v>13</v>
      </c>
      <c r="E20" s="64" t="s">
        <v>14</v>
      </c>
      <c r="F20" s="64" t="s">
        <v>28</v>
      </c>
      <c r="G20" s="64">
        <v>44945</v>
      </c>
      <c r="H20" s="64">
        <v>185</v>
      </c>
      <c r="I20" s="64">
        <v>242.24</v>
      </c>
      <c r="J20" s="64">
        <v>213.93</v>
      </c>
    </row>
    <row r="21" spans="1:16">
      <c r="A21" s="64" t="s">
        <v>46</v>
      </c>
      <c r="B21" s="64" t="s">
        <v>11</v>
      </c>
      <c r="C21" s="64" t="s">
        <v>18</v>
      </c>
      <c r="D21" s="64" t="s">
        <v>19</v>
      </c>
      <c r="E21" s="64" t="s">
        <v>24</v>
      </c>
      <c r="F21" s="64" t="s">
        <v>15</v>
      </c>
      <c r="G21" s="64">
        <v>44946</v>
      </c>
      <c r="H21" s="64">
        <v>99</v>
      </c>
      <c r="I21" s="64">
        <v>309.79000000000002</v>
      </c>
      <c r="J21" s="64">
        <v>289.13</v>
      </c>
    </row>
    <row r="22" spans="1:16">
      <c r="A22" s="64" t="s">
        <v>47</v>
      </c>
      <c r="B22" s="64" t="s">
        <v>48</v>
      </c>
      <c r="C22" s="64" t="s">
        <v>12</v>
      </c>
      <c r="D22" s="64" t="s">
        <v>42</v>
      </c>
      <c r="E22" s="64" t="s">
        <v>24</v>
      </c>
      <c r="F22" s="64" t="s">
        <v>28</v>
      </c>
      <c r="G22" s="64">
        <v>44947</v>
      </c>
      <c r="H22" s="64">
        <v>411</v>
      </c>
      <c r="I22" s="64">
        <v>167.86</v>
      </c>
      <c r="J22" s="64">
        <v>58.23</v>
      </c>
    </row>
    <row r="23" spans="1:16">
      <c r="A23" s="64" t="s">
        <v>49</v>
      </c>
      <c r="B23" s="64" t="s">
        <v>22</v>
      </c>
      <c r="C23" s="64" t="s">
        <v>50</v>
      </c>
      <c r="D23" s="64" t="s">
        <v>19</v>
      </c>
      <c r="E23" s="64" t="s">
        <v>24</v>
      </c>
      <c r="F23" s="64" t="s">
        <v>15</v>
      </c>
      <c r="G23" s="64">
        <v>44948</v>
      </c>
      <c r="H23" s="64">
        <v>463</v>
      </c>
      <c r="I23" s="64">
        <v>237.74</v>
      </c>
      <c r="J23" s="64">
        <v>86.37</v>
      </c>
    </row>
    <row r="24" spans="1:16">
      <c r="A24" s="64" t="s">
        <v>51</v>
      </c>
      <c r="B24" s="64" t="s">
        <v>48</v>
      </c>
      <c r="C24" s="64" t="s">
        <v>50</v>
      </c>
      <c r="D24" s="64" t="s">
        <v>42</v>
      </c>
      <c r="E24" s="64" t="s">
        <v>14</v>
      </c>
      <c r="F24" s="64" t="s">
        <v>20</v>
      </c>
      <c r="G24" s="64">
        <v>44949</v>
      </c>
      <c r="H24" s="64">
        <v>46</v>
      </c>
      <c r="I24" s="64">
        <v>373.42</v>
      </c>
      <c r="J24" s="64">
        <v>327.86</v>
      </c>
    </row>
    <row r="25" spans="1:16">
      <c r="A25" s="64" t="s">
        <v>52</v>
      </c>
      <c r="B25" s="64" t="s">
        <v>17</v>
      </c>
      <c r="C25" s="64" t="s">
        <v>31</v>
      </c>
      <c r="D25" s="64" t="s">
        <v>42</v>
      </c>
      <c r="E25" s="64" t="s">
        <v>24</v>
      </c>
      <c r="F25" s="64" t="s">
        <v>28</v>
      </c>
      <c r="G25" s="64">
        <v>44950</v>
      </c>
      <c r="H25" s="64">
        <v>325</v>
      </c>
      <c r="I25" s="64">
        <v>436.56</v>
      </c>
      <c r="J25" s="64">
        <v>130.37</v>
      </c>
    </row>
    <row r="26" spans="1:16">
      <c r="A26" s="64" t="s">
        <v>53</v>
      </c>
      <c r="B26" s="64" t="s">
        <v>17</v>
      </c>
      <c r="C26" s="64" t="s">
        <v>18</v>
      </c>
      <c r="D26" s="64" t="s">
        <v>13</v>
      </c>
      <c r="E26" s="64" t="s">
        <v>24</v>
      </c>
      <c r="F26" s="64" t="s">
        <v>28</v>
      </c>
      <c r="G26" s="64">
        <v>44951</v>
      </c>
      <c r="H26" s="64">
        <v>185</v>
      </c>
      <c r="I26" s="64">
        <v>219.66</v>
      </c>
      <c r="J26" s="64">
        <v>11.11</v>
      </c>
    </row>
    <row r="27" spans="1:16">
      <c r="A27" s="64" t="s">
        <v>54</v>
      </c>
      <c r="B27" s="64" t="s">
        <v>48</v>
      </c>
      <c r="C27" s="64" t="s">
        <v>18</v>
      </c>
      <c r="D27" s="64" t="s">
        <v>13</v>
      </c>
      <c r="E27" s="64" t="s">
        <v>24</v>
      </c>
      <c r="F27" s="64" t="s">
        <v>15</v>
      </c>
      <c r="G27" s="64">
        <v>44952</v>
      </c>
      <c r="H27" s="64">
        <v>470</v>
      </c>
      <c r="I27" s="64">
        <v>26.61</v>
      </c>
      <c r="J27" s="64">
        <v>63.21</v>
      </c>
    </row>
    <row r="28" spans="1:16">
      <c r="A28" s="64" t="s">
        <v>55</v>
      </c>
      <c r="B28" s="64" t="s">
        <v>48</v>
      </c>
      <c r="C28" s="64" t="s">
        <v>31</v>
      </c>
      <c r="D28" s="64" t="s">
        <v>27</v>
      </c>
      <c r="E28" s="64" t="s">
        <v>14</v>
      </c>
      <c r="F28" s="64" t="s">
        <v>28</v>
      </c>
      <c r="G28" s="64">
        <v>44953</v>
      </c>
      <c r="H28" s="64">
        <v>293</v>
      </c>
      <c r="I28" s="64">
        <v>85.03</v>
      </c>
      <c r="J28" s="64">
        <v>91</v>
      </c>
    </row>
    <row r="29" spans="1:16">
      <c r="A29" s="64" t="s">
        <v>56</v>
      </c>
      <c r="B29" s="64" t="s">
        <v>48</v>
      </c>
      <c r="C29" s="64" t="s">
        <v>31</v>
      </c>
      <c r="D29" s="64" t="s">
        <v>19</v>
      </c>
      <c r="E29" s="64" t="s">
        <v>14</v>
      </c>
      <c r="F29" s="64" t="s">
        <v>28</v>
      </c>
      <c r="G29" s="64">
        <v>44954</v>
      </c>
      <c r="H29" s="64">
        <v>462</v>
      </c>
      <c r="J29" s="64">
        <v>383.01</v>
      </c>
    </row>
    <row r="30" spans="1:16">
      <c r="A30" s="64" t="s">
        <v>57</v>
      </c>
      <c r="B30" s="64" t="s">
        <v>17</v>
      </c>
      <c r="C30" s="64" t="s">
        <v>31</v>
      </c>
      <c r="D30" s="64" t="s">
        <v>13</v>
      </c>
      <c r="E30" s="64" t="s">
        <v>24</v>
      </c>
      <c r="F30" s="64" t="s">
        <v>20</v>
      </c>
      <c r="G30" s="64">
        <v>44955</v>
      </c>
      <c r="H30" s="64">
        <v>470</v>
      </c>
      <c r="I30" s="64">
        <v>328.37</v>
      </c>
      <c r="J30" s="64">
        <v>230.07</v>
      </c>
    </row>
    <row r="31" spans="1:16">
      <c r="A31" s="64" t="s">
        <v>58</v>
      </c>
      <c r="B31" s="64" t="s">
        <v>17</v>
      </c>
      <c r="C31" s="64" t="s">
        <v>12</v>
      </c>
      <c r="D31" s="64" t="s">
        <v>13</v>
      </c>
      <c r="E31" s="64" t="s">
        <v>14</v>
      </c>
      <c r="F31" s="64" t="s">
        <v>28</v>
      </c>
      <c r="G31" s="64">
        <v>44956</v>
      </c>
      <c r="H31" s="64">
        <v>90</v>
      </c>
      <c r="I31" s="64">
        <v>169.5</v>
      </c>
      <c r="J31" s="64">
        <v>373.23</v>
      </c>
    </row>
    <row r="32" spans="1:16">
      <c r="A32" s="64" t="s">
        <v>59</v>
      </c>
      <c r="B32" s="64" t="s">
        <v>388</v>
      </c>
      <c r="C32" s="64" t="s">
        <v>18</v>
      </c>
      <c r="D32" s="64" t="s">
        <v>13</v>
      </c>
      <c r="E32" s="64" t="s">
        <v>14</v>
      </c>
      <c r="F32" s="64" t="s">
        <v>20</v>
      </c>
      <c r="G32" s="64">
        <v>44957</v>
      </c>
      <c r="H32" s="64">
        <v>123</v>
      </c>
      <c r="I32" s="64">
        <v>273.52999999999997</v>
      </c>
      <c r="J32" s="64">
        <v>230.92</v>
      </c>
    </row>
    <row r="33" spans="1:10">
      <c r="A33" s="64" t="s">
        <v>60</v>
      </c>
      <c r="B33" s="64" t="s">
        <v>22</v>
      </c>
      <c r="C33" s="64" t="s">
        <v>12</v>
      </c>
      <c r="D33" s="64" t="s">
        <v>13</v>
      </c>
      <c r="E33" s="64" t="s">
        <v>14</v>
      </c>
      <c r="F33" s="64" t="s">
        <v>15</v>
      </c>
      <c r="G33" s="64">
        <v>44958</v>
      </c>
      <c r="H33" s="64">
        <v>49</v>
      </c>
      <c r="I33" s="64">
        <v>249.17</v>
      </c>
      <c r="J33" s="64">
        <v>192.78</v>
      </c>
    </row>
    <row r="34" spans="1:10">
      <c r="A34" s="64" t="s">
        <v>61</v>
      </c>
      <c r="B34" s="64" t="s">
        <v>17</v>
      </c>
      <c r="C34" s="64" t="s">
        <v>31</v>
      </c>
      <c r="D34" s="64" t="s">
        <v>13</v>
      </c>
      <c r="E34" s="64" t="s">
        <v>14</v>
      </c>
      <c r="F34" s="64" t="s">
        <v>28</v>
      </c>
      <c r="G34" s="64">
        <v>44959</v>
      </c>
      <c r="H34" s="64">
        <v>310</v>
      </c>
      <c r="I34" s="64">
        <v>45.36</v>
      </c>
      <c r="J34" s="64">
        <v>126.86</v>
      </c>
    </row>
    <row r="35" spans="1:10">
      <c r="A35" s="64" t="s">
        <v>62</v>
      </c>
      <c r="B35" s="64" t="s">
        <v>48</v>
      </c>
      <c r="C35" s="64" t="s">
        <v>18</v>
      </c>
      <c r="D35" s="64" t="s">
        <v>23</v>
      </c>
      <c r="E35" s="64" t="s">
        <v>14</v>
      </c>
      <c r="F35" s="64" t="s">
        <v>20</v>
      </c>
      <c r="G35" s="64">
        <v>44960</v>
      </c>
      <c r="H35" s="64">
        <v>233</v>
      </c>
      <c r="I35" s="64">
        <v>204.61</v>
      </c>
      <c r="J35" s="64">
        <v>243.34</v>
      </c>
    </row>
    <row r="36" spans="1:10">
      <c r="A36" s="64" t="s">
        <v>63</v>
      </c>
      <c r="B36" s="64" t="s">
        <v>48</v>
      </c>
      <c r="C36" s="64" t="s">
        <v>12</v>
      </c>
      <c r="D36" s="64" t="s">
        <v>19</v>
      </c>
      <c r="E36" s="64" t="s">
        <v>14</v>
      </c>
      <c r="F36" s="64" t="s">
        <v>15</v>
      </c>
      <c r="G36" s="64">
        <v>44961</v>
      </c>
      <c r="H36" s="64">
        <v>327</v>
      </c>
      <c r="I36" s="64">
        <v>114.18</v>
      </c>
      <c r="J36" s="64">
        <v>57.4</v>
      </c>
    </row>
    <row r="37" spans="1:10">
      <c r="A37" s="64" t="s">
        <v>64</v>
      </c>
      <c r="B37" s="64" t="s">
        <v>22</v>
      </c>
      <c r="C37" s="64" t="s">
        <v>12</v>
      </c>
      <c r="D37" s="64" t="s">
        <v>13</v>
      </c>
      <c r="E37" s="64" t="s">
        <v>14</v>
      </c>
      <c r="F37" s="64" t="s">
        <v>28</v>
      </c>
      <c r="G37" s="64">
        <v>44962</v>
      </c>
      <c r="H37" s="64">
        <v>358</v>
      </c>
      <c r="I37" s="64">
        <v>212.11</v>
      </c>
      <c r="J37" s="64">
        <v>359.51</v>
      </c>
    </row>
    <row r="38" spans="1:10">
      <c r="A38" s="64" t="s">
        <v>65</v>
      </c>
      <c r="B38" s="64" t="s">
        <v>17</v>
      </c>
      <c r="C38" s="64" t="s">
        <v>31</v>
      </c>
      <c r="D38" s="64" t="s">
        <v>19</v>
      </c>
      <c r="E38" s="64" t="s">
        <v>14</v>
      </c>
      <c r="F38" s="64" t="s">
        <v>15</v>
      </c>
      <c r="G38" s="64">
        <v>44963</v>
      </c>
      <c r="H38" s="64">
        <v>124</v>
      </c>
      <c r="J38" s="64">
        <v>332.07</v>
      </c>
    </row>
    <row r="39" spans="1:10">
      <c r="A39" s="64" t="s">
        <v>66</v>
      </c>
      <c r="B39" s="64" t="s">
        <v>22</v>
      </c>
      <c r="C39" s="64" t="s">
        <v>18</v>
      </c>
      <c r="D39" s="64" t="s">
        <v>23</v>
      </c>
      <c r="E39" s="64" t="s">
        <v>14</v>
      </c>
      <c r="F39" s="64" t="s">
        <v>28</v>
      </c>
      <c r="G39" s="64">
        <v>44964</v>
      </c>
      <c r="H39" s="64">
        <v>195</v>
      </c>
      <c r="I39" s="64">
        <v>421.02</v>
      </c>
      <c r="J39" s="64">
        <v>128.38</v>
      </c>
    </row>
    <row r="40" spans="1:10">
      <c r="A40" s="64" t="s">
        <v>67</v>
      </c>
      <c r="B40" s="64" t="s">
        <v>22</v>
      </c>
      <c r="C40" s="64" t="s">
        <v>31</v>
      </c>
      <c r="D40" s="64" t="s">
        <v>23</v>
      </c>
      <c r="E40" s="64" t="s">
        <v>14</v>
      </c>
      <c r="F40" s="64" t="s">
        <v>15</v>
      </c>
      <c r="G40" s="64">
        <v>44965</v>
      </c>
      <c r="I40" s="64">
        <v>91.23</v>
      </c>
      <c r="J40" s="64">
        <v>381.21</v>
      </c>
    </row>
    <row r="41" spans="1:10">
      <c r="A41" s="64" t="s">
        <v>68</v>
      </c>
      <c r="B41" s="64" t="s">
        <v>11</v>
      </c>
      <c r="C41" s="64" t="s">
        <v>18</v>
      </c>
      <c r="D41" s="64" t="s">
        <v>19</v>
      </c>
      <c r="E41" s="64" t="s">
        <v>24</v>
      </c>
      <c r="F41" s="64" t="s">
        <v>15</v>
      </c>
      <c r="G41" s="64">
        <v>44966</v>
      </c>
      <c r="H41" s="64">
        <v>65</v>
      </c>
      <c r="I41" s="64">
        <v>480.59</v>
      </c>
      <c r="J41" s="64">
        <v>330.43</v>
      </c>
    </row>
    <row r="42" spans="1:10">
      <c r="A42" s="64" t="s">
        <v>69</v>
      </c>
      <c r="B42" s="64" t="s">
        <v>11</v>
      </c>
      <c r="C42" s="64" t="s">
        <v>50</v>
      </c>
      <c r="D42" s="64" t="s">
        <v>42</v>
      </c>
      <c r="E42" s="64" t="s">
        <v>24</v>
      </c>
      <c r="F42" s="64" t="s">
        <v>20</v>
      </c>
      <c r="G42" s="64">
        <v>44967</v>
      </c>
      <c r="H42" s="64">
        <v>49</v>
      </c>
      <c r="I42" s="64">
        <v>210.87</v>
      </c>
      <c r="J42" s="64">
        <v>267.19</v>
      </c>
    </row>
    <row r="43" spans="1:10">
      <c r="A43" s="64" t="s">
        <v>70</v>
      </c>
      <c r="B43" s="64" t="s">
        <v>11</v>
      </c>
      <c r="C43" s="64" t="s">
        <v>26</v>
      </c>
      <c r="D43" s="64" t="s">
        <v>27</v>
      </c>
      <c r="E43" s="64" t="s">
        <v>14</v>
      </c>
      <c r="F43" s="64" t="s">
        <v>15</v>
      </c>
      <c r="G43" s="64">
        <v>44968</v>
      </c>
      <c r="H43" s="64">
        <v>363</v>
      </c>
      <c r="I43" s="64">
        <v>423.89</v>
      </c>
      <c r="J43" s="64">
        <v>50.46</v>
      </c>
    </row>
    <row r="44" spans="1:10">
      <c r="A44" s="64" t="s">
        <v>71</v>
      </c>
      <c r="B44" s="64" t="s">
        <v>48</v>
      </c>
      <c r="C44" s="64" t="s">
        <v>26</v>
      </c>
      <c r="D44" s="64" t="s">
        <v>42</v>
      </c>
      <c r="E44" s="64" t="s">
        <v>24</v>
      </c>
      <c r="F44" s="64" t="s">
        <v>28</v>
      </c>
      <c r="G44" s="64">
        <v>44969</v>
      </c>
      <c r="H44" s="64">
        <v>49</v>
      </c>
      <c r="I44" s="64">
        <v>316.24</v>
      </c>
      <c r="J44" s="64">
        <v>192.34</v>
      </c>
    </row>
    <row r="45" spans="1:10">
      <c r="A45" s="64" t="s">
        <v>72</v>
      </c>
      <c r="B45" s="64" t="s">
        <v>17</v>
      </c>
      <c r="C45" s="64" t="s">
        <v>26</v>
      </c>
      <c r="D45" s="64" t="s">
        <v>42</v>
      </c>
      <c r="E45" s="64" t="s">
        <v>24</v>
      </c>
      <c r="F45" s="64" t="s">
        <v>28</v>
      </c>
      <c r="G45" s="64">
        <v>44970</v>
      </c>
      <c r="H45" s="64">
        <v>356</v>
      </c>
      <c r="I45" s="64">
        <v>369</v>
      </c>
      <c r="J45" s="64">
        <v>203.43</v>
      </c>
    </row>
    <row r="46" spans="1:10">
      <c r="A46" s="64" t="s">
        <v>73</v>
      </c>
      <c r="B46" s="64" t="s">
        <v>17</v>
      </c>
      <c r="C46" s="64" t="s">
        <v>31</v>
      </c>
      <c r="D46" s="64" t="s">
        <v>42</v>
      </c>
      <c r="E46" s="64" t="s">
        <v>14</v>
      </c>
      <c r="F46" s="64" t="s">
        <v>20</v>
      </c>
      <c r="G46" s="64">
        <v>44971</v>
      </c>
      <c r="H46" s="64">
        <v>470</v>
      </c>
      <c r="J46" s="64">
        <v>94.56</v>
      </c>
    </row>
    <row r="47" spans="1:10">
      <c r="A47" s="64" t="s">
        <v>74</v>
      </c>
      <c r="B47" s="64" t="s">
        <v>17</v>
      </c>
      <c r="C47" s="64" t="s">
        <v>50</v>
      </c>
      <c r="D47" s="64" t="s">
        <v>13</v>
      </c>
      <c r="E47" s="64" t="s">
        <v>14</v>
      </c>
      <c r="F47" s="64" t="s">
        <v>28</v>
      </c>
      <c r="G47" s="64">
        <v>44972</v>
      </c>
      <c r="H47" s="64">
        <v>246</v>
      </c>
      <c r="I47" s="64">
        <v>254.9</v>
      </c>
      <c r="J47" s="64">
        <v>33.83</v>
      </c>
    </row>
    <row r="48" spans="1:10">
      <c r="A48" s="64" t="s">
        <v>75</v>
      </c>
      <c r="B48" s="64" t="s">
        <v>17</v>
      </c>
      <c r="C48" s="64" t="s">
        <v>18</v>
      </c>
      <c r="D48" s="64" t="s">
        <v>23</v>
      </c>
      <c r="E48" s="64" t="s">
        <v>14</v>
      </c>
      <c r="F48" s="64" t="s">
        <v>28</v>
      </c>
      <c r="G48" s="64">
        <v>44973</v>
      </c>
      <c r="H48" s="64">
        <v>298</v>
      </c>
      <c r="I48" s="64">
        <v>273.93</v>
      </c>
      <c r="J48" s="64">
        <v>311.14</v>
      </c>
    </row>
    <row r="49" spans="1:10">
      <c r="A49" s="64" t="s">
        <v>76</v>
      </c>
      <c r="B49" s="64" t="s">
        <v>11</v>
      </c>
      <c r="C49" s="64" t="s">
        <v>12</v>
      </c>
      <c r="D49" s="64" t="s">
        <v>42</v>
      </c>
      <c r="E49" s="64" t="s">
        <v>24</v>
      </c>
      <c r="F49" s="64" t="s">
        <v>28</v>
      </c>
      <c r="G49" s="64">
        <v>44974</v>
      </c>
      <c r="H49" s="64">
        <v>271</v>
      </c>
      <c r="I49" s="64">
        <v>259.43</v>
      </c>
      <c r="J49" s="64">
        <v>50.57</v>
      </c>
    </row>
    <row r="50" spans="1:10">
      <c r="A50" s="64" t="s">
        <v>77</v>
      </c>
      <c r="B50" s="64" t="s">
        <v>48</v>
      </c>
      <c r="C50" s="64" t="s">
        <v>18</v>
      </c>
      <c r="D50" s="64" t="s">
        <v>23</v>
      </c>
      <c r="E50" s="64" t="s">
        <v>24</v>
      </c>
      <c r="F50" s="64" t="s">
        <v>15</v>
      </c>
      <c r="G50" s="64">
        <v>44975</v>
      </c>
      <c r="H50" s="64">
        <v>225</v>
      </c>
      <c r="I50" s="64">
        <v>296.08999999999997</v>
      </c>
      <c r="J50" s="64">
        <v>238.53</v>
      </c>
    </row>
    <row r="51" spans="1:10">
      <c r="A51" s="64" t="s">
        <v>78</v>
      </c>
      <c r="B51" s="64" t="s">
        <v>388</v>
      </c>
      <c r="C51" s="64" t="s">
        <v>12</v>
      </c>
      <c r="D51" s="64" t="s">
        <v>19</v>
      </c>
      <c r="E51" s="64" t="s">
        <v>14</v>
      </c>
      <c r="F51" s="64" t="s">
        <v>15</v>
      </c>
      <c r="G51" s="64">
        <v>44976</v>
      </c>
      <c r="H51" s="64">
        <v>156</v>
      </c>
      <c r="I51" s="64">
        <v>19.55</v>
      </c>
      <c r="J51" s="64">
        <v>374.71</v>
      </c>
    </row>
    <row r="52" spans="1:10">
      <c r="A52" s="64" t="s">
        <v>79</v>
      </c>
      <c r="B52" s="64" t="s">
        <v>11</v>
      </c>
      <c r="C52" s="64" t="s">
        <v>18</v>
      </c>
      <c r="D52" s="64" t="s">
        <v>27</v>
      </c>
      <c r="E52" s="64" t="s">
        <v>14</v>
      </c>
      <c r="F52" s="64" t="s">
        <v>28</v>
      </c>
      <c r="G52" s="64">
        <v>44977</v>
      </c>
      <c r="H52" s="64">
        <v>345</v>
      </c>
      <c r="I52" s="64">
        <v>200.78</v>
      </c>
      <c r="J52" s="64">
        <v>350.69</v>
      </c>
    </row>
    <row r="53" spans="1:10">
      <c r="A53" s="64" t="s">
        <v>80</v>
      </c>
      <c r="B53" s="64" t="s">
        <v>48</v>
      </c>
      <c r="C53" s="64" t="s">
        <v>50</v>
      </c>
      <c r="D53" s="64" t="s">
        <v>19</v>
      </c>
      <c r="E53" s="64" t="s">
        <v>14</v>
      </c>
      <c r="F53" s="64" t="s">
        <v>20</v>
      </c>
      <c r="G53" s="64">
        <v>44978</v>
      </c>
      <c r="H53" s="64">
        <v>177</v>
      </c>
      <c r="I53" s="64">
        <v>305.06</v>
      </c>
      <c r="J53" s="64">
        <v>112.55</v>
      </c>
    </row>
    <row r="54" spans="1:10">
      <c r="A54" s="64" t="s">
        <v>81</v>
      </c>
      <c r="B54" s="64" t="s">
        <v>11</v>
      </c>
      <c r="C54" s="64" t="s">
        <v>12</v>
      </c>
      <c r="D54" s="64" t="s">
        <v>19</v>
      </c>
      <c r="E54" s="64" t="s">
        <v>24</v>
      </c>
      <c r="F54" s="64" t="s">
        <v>15</v>
      </c>
      <c r="G54" s="64">
        <v>44979</v>
      </c>
      <c r="H54" s="64">
        <v>101</v>
      </c>
      <c r="I54" s="64">
        <v>300.87</v>
      </c>
      <c r="J54" s="64">
        <v>340.88</v>
      </c>
    </row>
    <row r="55" spans="1:10">
      <c r="A55" s="64" t="s">
        <v>82</v>
      </c>
      <c r="B55" s="64" t="s">
        <v>17</v>
      </c>
      <c r="C55" s="64" t="s">
        <v>31</v>
      </c>
      <c r="D55" s="64" t="s">
        <v>13</v>
      </c>
      <c r="E55" s="64" t="s">
        <v>24</v>
      </c>
      <c r="F55" s="64" t="s">
        <v>20</v>
      </c>
      <c r="G55" s="64">
        <v>44980</v>
      </c>
      <c r="H55" s="64">
        <v>362</v>
      </c>
      <c r="I55" s="64">
        <v>397.51</v>
      </c>
      <c r="J55" s="64">
        <v>2.13</v>
      </c>
    </row>
    <row r="56" spans="1:10">
      <c r="A56" s="64" t="s">
        <v>83</v>
      </c>
      <c r="B56" s="64" t="s">
        <v>11</v>
      </c>
      <c r="C56" s="64" t="s">
        <v>18</v>
      </c>
      <c r="D56" s="64" t="s">
        <v>27</v>
      </c>
      <c r="E56" s="64" t="s">
        <v>24</v>
      </c>
      <c r="F56" s="64" t="s">
        <v>28</v>
      </c>
      <c r="G56" s="64">
        <v>44981</v>
      </c>
      <c r="H56" s="64">
        <v>68</v>
      </c>
      <c r="I56" s="64">
        <v>329.23</v>
      </c>
      <c r="J56" s="64">
        <v>9.0399999999999991</v>
      </c>
    </row>
    <row r="57" spans="1:10">
      <c r="A57" s="64" t="s">
        <v>84</v>
      </c>
      <c r="B57" s="64" t="s">
        <v>17</v>
      </c>
      <c r="C57" s="64" t="s">
        <v>18</v>
      </c>
      <c r="D57" s="64" t="s">
        <v>19</v>
      </c>
      <c r="E57" s="64" t="s">
        <v>24</v>
      </c>
      <c r="F57" s="64" t="s">
        <v>28</v>
      </c>
      <c r="G57" s="64">
        <v>44982</v>
      </c>
      <c r="H57" s="64">
        <v>68</v>
      </c>
      <c r="I57" s="64">
        <v>496.11</v>
      </c>
      <c r="J57" s="64">
        <v>241.82</v>
      </c>
    </row>
    <row r="58" spans="1:10">
      <c r="A58" s="64" t="s">
        <v>85</v>
      </c>
      <c r="B58" s="64" t="s">
        <v>17</v>
      </c>
      <c r="C58" s="64" t="s">
        <v>12</v>
      </c>
      <c r="D58" s="64" t="s">
        <v>19</v>
      </c>
      <c r="E58" s="64" t="s">
        <v>14</v>
      </c>
      <c r="F58" s="64" t="s">
        <v>15</v>
      </c>
      <c r="G58" s="64">
        <v>44983</v>
      </c>
      <c r="H58" s="64">
        <v>313</v>
      </c>
      <c r="I58" s="64">
        <v>145.51</v>
      </c>
      <c r="J58" s="64">
        <v>147.19</v>
      </c>
    </row>
    <row r="59" spans="1:10">
      <c r="A59" s="64" t="s">
        <v>86</v>
      </c>
      <c r="B59" s="64" t="s">
        <v>22</v>
      </c>
      <c r="C59" s="64" t="s">
        <v>31</v>
      </c>
      <c r="D59" s="64" t="s">
        <v>27</v>
      </c>
      <c r="E59" s="64" t="s">
        <v>14</v>
      </c>
      <c r="F59" s="64" t="s">
        <v>28</v>
      </c>
      <c r="G59" s="64">
        <v>44984</v>
      </c>
      <c r="H59" s="64">
        <v>178</v>
      </c>
      <c r="I59" s="64">
        <v>182.78</v>
      </c>
      <c r="J59" s="64">
        <v>155.81</v>
      </c>
    </row>
    <row r="60" spans="1:10">
      <c r="A60" s="64" t="s">
        <v>87</v>
      </c>
      <c r="B60" s="64" t="s">
        <v>11</v>
      </c>
      <c r="C60" s="64" t="s">
        <v>31</v>
      </c>
      <c r="D60" s="64" t="s">
        <v>27</v>
      </c>
      <c r="E60" s="64" t="s">
        <v>14</v>
      </c>
      <c r="F60" s="64" t="s">
        <v>15</v>
      </c>
      <c r="G60" s="64">
        <v>44985</v>
      </c>
      <c r="H60" s="64">
        <v>278</v>
      </c>
      <c r="I60" s="64">
        <v>195</v>
      </c>
      <c r="J60" s="64">
        <v>226.65</v>
      </c>
    </row>
    <row r="61" spans="1:10">
      <c r="A61" s="64" t="s">
        <v>88</v>
      </c>
      <c r="B61" s="64" t="s">
        <v>22</v>
      </c>
      <c r="C61" s="64" t="s">
        <v>50</v>
      </c>
      <c r="D61" s="64" t="s">
        <v>19</v>
      </c>
      <c r="E61" s="64" t="s">
        <v>14</v>
      </c>
      <c r="F61" s="64" t="s">
        <v>28</v>
      </c>
      <c r="G61" s="64">
        <v>44986</v>
      </c>
      <c r="H61" s="64">
        <v>372</v>
      </c>
      <c r="I61" s="64">
        <v>235.58</v>
      </c>
      <c r="J61" s="64">
        <v>78.33</v>
      </c>
    </row>
    <row r="62" spans="1:10">
      <c r="A62" s="64" t="s">
        <v>89</v>
      </c>
      <c r="B62" s="64" t="s">
        <v>11</v>
      </c>
      <c r="C62" s="64" t="s">
        <v>31</v>
      </c>
      <c r="D62" s="64" t="s">
        <v>27</v>
      </c>
      <c r="E62" s="64" t="s">
        <v>24</v>
      </c>
      <c r="F62" s="64" t="s">
        <v>28</v>
      </c>
      <c r="G62" s="64">
        <v>44987</v>
      </c>
      <c r="H62" s="64">
        <v>54</v>
      </c>
      <c r="I62" s="64">
        <v>418.82</v>
      </c>
      <c r="J62" s="64">
        <v>86.28</v>
      </c>
    </row>
    <row r="63" spans="1:10">
      <c r="A63" s="64" t="s">
        <v>90</v>
      </c>
      <c r="B63" s="64" t="s">
        <v>11</v>
      </c>
      <c r="C63" s="64" t="s">
        <v>31</v>
      </c>
      <c r="D63" s="64" t="s">
        <v>19</v>
      </c>
      <c r="E63" s="64" t="s">
        <v>24</v>
      </c>
      <c r="F63" s="64" t="s">
        <v>15</v>
      </c>
      <c r="G63" s="64">
        <v>44988</v>
      </c>
      <c r="H63" s="64">
        <v>354</v>
      </c>
      <c r="I63" s="64">
        <v>121.72</v>
      </c>
      <c r="J63" s="64">
        <v>194.87</v>
      </c>
    </row>
    <row r="64" spans="1:10">
      <c r="A64" s="64" t="s">
        <v>91</v>
      </c>
      <c r="B64" s="64" t="s">
        <v>22</v>
      </c>
      <c r="C64" s="64" t="s">
        <v>31</v>
      </c>
      <c r="D64" s="64" t="s">
        <v>19</v>
      </c>
      <c r="E64" s="64" t="s">
        <v>14</v>
      </c>
      <c r="F64" s="64" t="s">
        <v>15</v>
      </c>
      <c r="G64" s="64">
        <v>44989</v>
      </c>
      <c r="H64" s="64">
        <v>190</v>
      </c>
      <c r="I64" s="64">
        <v>389.12</v>
      </c>
      <c r="J64" s="64">
        <v>302.19</v>
      </c>
    </row>
    <row r="65" spans="1:10">
      <c r="A65" s="64" t="s">
        <v>92</v>
      </c>
      <c r="B65" s="64" t="s">
        <v>388</v>
      </c>
      <c r="C65" s="64" t="s">
        <v>26</v>
      </c>
      <c r="D65" s="64" t="s">
        <v>13</v>
      </c>
      <c r="E65" s="64" t="s">
        <v>14</v>
      </c>
      <c r="F65" s="64" t="s">
        <v>15</v>
      </c>
      <c r="G65" s="64">
        <v>44990</v>
      </c>
      <c r="H65" s="64">
        <v>179</v>
      </c>
      <c r="I65" s="64">
        <v>205.63</v>
      </c>
      <c r="J65" s="64">
        <v>248.56</v>
      </c>
    </row>
    <row r="66" spans="1:10">
      <c r="A66" s="64" t="s">
        <v>93</v>
      </c>
      <c r="B66" s="64" t="s">
        <v>11</v>
      </c>
      <c r="C66" s="64" t="s">
        <v>50</v>
      </c>
      <c r="D66" s="64" t="s">
        <v>42</v>
      </c>
      <c r="E66" s="64" t="s">
        <v>24</v>
      </c>
      <c r="F66" s="64" t="s">
        <v>28</v>
      </c>
      <c r="G66" s="64">
        <v>44991</v>
      </c>
      <c r="H66" s="64">
        <v>365</v>
      </c>
      <c r="I66" s="64">
        <v>302.92</v>
      </c>
      <c r="J66" s="64">
        <v>120.35</v>
      </c>
    </row>
    <row r="67" spans="1:10">
      <c r="A67" s="64" t="s">
        <v>94</v>
      </c>
      <c r="B67" s="64" t="s">
        <v>48</v>
      </c>
      <c r="C67" s="64" t="s">
        <v>18</v>
      </c>
      <c r="D67" s="64" t="s">
        <v>19</v>
      </c>
      <c r="E67" s="64" t="s">
        <v>14</v>
      </c>
      <c r="F67" s="64" t="s">
        <v>28</v>
      </c>
      <c r="G67" s="64">
        <v>44992</v>
      </c>
      <c r="H67" s="64">
        <v>200</v>
      </c>
      <c r="I67" s="64">
        <v>318.11</v>
      </c>
      <c r="J67" s="64">
        <v>173.27</v>
      </c>
    </row>
    <row r="68" spans="1:10">
      <c r="A68" s="64" t="s">
        <v>95</v>
      </c>
      <c r="B68" s="64" t="s">
        <v>17</v>
      </c>
      <c r="C68" s="64" t="s">
        <v>12</v>
      </c>
      <c r="D68" s="64" t="s">
        <v>23</v>
      </c>
      <c r="E68" s="64" t="s">
        <v>24</v>
      </c>
      <c r="F68" s="64" t="s">
        <v>20</v>
      </c>
      <c r="G68" s="64">
        <v>44993</v>
      </c>
      <c r="H68" s="64">
        <v>164</v>
      </c>
      <c r="I68" s="64">
        <v>189.56</v>
      </c>
      <c r="J68" s="64">
        <v>69.92</v>
      </c>
    </row>
    <row r="69" spans="1:10">
      <c r="A69" s="64" t="s">
        <v>96</v>
      </c>
      <c r="B69" s="64" t="s">
        <v>22</v>
      </c>
      <c r="C69" s="64" t="s">
        <v>18</v>
      </c>
      <c r="D69" s="64" t="s">
        <v>42</v>
      </c>
      <c r="E69" s="64" t="s">
        <v>14</v>
      </c>
      <c r="F69" s="64" t="s">
        <v>15</v>
      </c>
      <c r="G69" s="64">
        <v>44994</v>
      </c>
      <c r="H69" s="64">
        <v>431</v>
      </c>
      <c r="I69" s="64">
        <v>258.74</v>
      </c>
      <c r="J69" s="64">
        <v>31.7</v>
      </c>
    </row>
    <row r="70" spans="1:10">
      <c r="A70" s="64" t="s">
        <v>97</v>
      </c>
      <c r="B70" s="64" t="s">
        <v>17</v>
      </c>
      <c r="C70" s="64" t="s">
        <v>50</v>
      </c>
      <c r="D70" s="64" t="s">
        <v>42</v>
      </c>
      <c r="E70" s="64" t="s">
        <v>14</v>
      </c>
      <c r="F70" s="64" t="s">
        <v>28</v>
      </c>
      <c r="G70" s="64">
        <v>44995</v>
      </c>
      <c r="H70" s="64">
        <v>197</v>
      </c>
      <c r="I70" s="64">
        <v>209.45</v>
      </c>
      <c r="J70" s="64">
        <v>313.51</v>
      </c>
    </row>
    <row r="71" spans="1:10">
      <c r="A71" s="64" t="s">
        <v>98</v>
      </c>
      <c r="B71" s="64" t="s">
        <v>48</v>
      </c>
      <c r="C71" s="64" t="s">
        <v>12</v>
      </c>
      <c r="D71" s="64" t="s">
        <v>42</v>
      </c>
      <c r="E71" s="64" t="s">
        <v>14</v>
      </c>
      <c r="F71" s="64" t="s">
        <v>28</v>
      </c>
      <c r="G71" s="64">
        <v>44996</v>
      </c>
      <c r="H71" s="64">
        <v>16</v>
      </c>
      <c r="I71" s="64">
        <v>39.22</v>
      </c>
      <c r="J71" s="64">
        <v>107.62</v>
      </c>
    </row>
    <row r="72" spans="1:10">
      <c r="A72" s="64" t="s">
        <v>99</v>
      </c>
      <c r="B72" s="64" t="s">
        <v>48</v>
      </c>
      <c r="C72" s="64" t="s">
        <v>50</v>
      </c>
      <c r="D72" s="64" t="s">
        <v>13</v>
      </c>
      <c r="E72" s="64" t="s">
        <v>14</v>
      </c>
      <c r="F72" s="64" t="s">
        <v>15</v>
      </c>
      <c r="G72" s="64">
        <v>44997</v>
      </c>
      <c r="H72" s="64">
        <v>142</v>
      </c>
      <c r="I72" s="64">
        <v>221.4</v>
      </c>
      <c r="J72" s="64">
        <v>72.75</v>
      </c>
    </row>
    <row r="73" spans="1:10">
      <c r="A73" s="64" t="s">
        <v>100</v>
      </c>
      <c r="B73" s="64" t="s">
        <v>48</v>
      </c>
      <c r="C73" s="64" t="s">
        <v>31</v>
      </c>
      <c r="D73" s="64" t="s">
        <v>19</v>
      </c>
      <c r="E73" s="64" t="s">
        <v>14</v>
      </c>
      <c r="F73" s="64" t="s">
        <v>20</v>
      </c>
      <c r="G73" s="64">
        <v>44998</v>
      </c>
      <c r="H73" s="64">
        <v>244</v>
      </c>
      <c r="I73" s="64">
        <v>53.21</v>
      </c>
      <c r="J73" s="64">
        <v>277.26</v>
      </c>
    </row>
    <row r="74" spans="1:10">
      <c r="A74" s="64" t="s">
        <v>101</v>
      </c>
      <c r="B74" s="64" t="s">
        <v>22</v>
      </c>
      <c r="C74" s="64" t="s">
        <v>12</v>
      </c>
      <c r="D74" s="64" t="s">
        <v>13</v>
      </c>
      <c r="E74" s="64" t="s">
        <v>14</v>
      </c>
      <c r="F74" s="64" t="s">
        <v>15</v>
      </c>
      <c r="G74" s="64">
        <v>44999</v>
      </c>
      <c r="H74" s="64">
        <v>54</v>
      </c>
      <c r="I74" s="64">
        <v>205.49</v>
      </c>
      <c r="J74" s="64">
        <v>247.98</v>
      </c>
    </row>
    <row r="75" spans="1:10">
      <c r="A75" s="64" t="s">
        <v>102</v>
      </c>
      <c r="B75" s="64" t="s">
        <v>48</v>
      </c>
      <c r="C75" s="64" t="s">
        <v>31</v>
      </c>
      <c r="D75" s="64" t="s">
        <v>19</v>
      </c>
      <c r="E75" s="64" t="s">
        <v>14</v>
      </c>
      <c r="F75" s="64" t="s">
        <v>20</v>
      </c>
      <c r="G75" s="64">
        <v>45000</v>
      </c>
      <c r="H75" s="64">
        <v>323</v>
      </c>
      <c r="I75" s="64">
        <v>298.49</v>
      </c>
      <c r="J75" s="64">
        <v>254.01</v>
      </c>
    </row>
    <row r="76" spans="1:10">
      <c r="A76" s="64" t="s">
        <v>103</v>
      </c>
      <c r="B76" s="64" t="s">
        <v>22</v>
      </c>
      <c r="C76" s="64" t="s">
        <v>18</v>
      </c>
      <c r="D76" s="64" t="s">
        <v>13</v>
      </c>
      <c r="E76" s="64" t="s">
        <v>24</v>
      </c>
      <c r="F76" s="64" t="s">
        <v>28</v>
      </c>
      <c r="G76" s="64">
        <v>45001</v>
      </c>
      <c r="H76" s="64">
        <v>258</v>
      </c>
      <c r="I76" s="64">
        <v>291.81</v>
      </c>
      <c r="J76" s="64">
        <v>93.1</v>
      </c>
    </row>
    <row r="77" spans="1:10">
      <c r="A77" s="64" t="s">
        <v>104</v>
      </c>
      <c r="B77" s="64" t="s">
        <v>48</v>
      </c>
      <c r="C77" s="64" t="s">
        <v>18</v>
      </c>
      <c r="D77" s="64" t="s">
        <v>13</v>
      </c>
      <c r="E77" s="64" t="s">
        <v>24</v>
      </c>
      <c r="F77" s="64" t="s">
        <v>20</v>
      </c>
      <c r="G77" s="64">
        <v>45002</v>
      </c>
      <c r="H77" s="64">
        <v>40</v>
      </c>
      <c r="I77" s="64">
        <v>333</v>
      </c>
      <c r="J77" s="64">
        <v>94.59</v>
      </c>
    </row>
    <row r="78" spans="1:10">
      <c r="A78" s="64" t="s">
        <v>105</v>
      </c>
      <c r="B78" s="64" t="s">
        <v>17</v>
      </c>
      <c r="C78" s="64" t="s">
        <v>12</v>
      </c>
      <c r="D78" s="64" t="s">
        <v>23</v>
      </c>
      <c r="E78" s="64" t="s">
        <v>24</v>
      </c>
      <c r="F78" s="64" t="s">
        <v>28</v>
      </c>
      <c r="G78" s="64">
        <v>45003</v>
      </c>
      <c r="H78" s="64">
        <v>32</v>
      </c>
      <c r="I78" s="64">
        <v>52.15</v>
      </c>
      <c r="J78" s="64">
        <v>89.88</v>
      </c>
    </row>
    <row r="79" spans="1:10">
      <c r="A79" s="64" t="s">
        <v>106</v>
      </c>
      <c r="B79" s="64" t="s">
        <v>17</v>
      </c>
      <c r="C79" s="64" t="s">
        <v>12</v>
      </c>
      <c r="D79" s="64" t="s">
        <v>13</v>
      </c>
      <c r="E79" s="64" t="s">
        <v>24</v>
      </c>
      <c r="F79" s="64" t="s">
        <v>15</v>
      </c>
      <c r="G79" s="64">
        <v>45004</v>
      </c>
      <c r="H79" s="64">
        <v>435</v>
      </c>
      <c r="I79" s="64">
        <v>327.8</v>
      </c>
      <c r="J79" s="64">
        <v>71.150000000000006</v>
      </c>
    </row>
    <row r="80" spans="1:10">
      <c r="A80" s="64" t="s">
        <v>107</v>
      </c>
      <c r="B80" s="64" t="s">
        <v>11</v>
      </c>
      <c r="C80" s="64" t="s">
        <v>50</v>
      </c>
      <c r="D80" s="64" t="s">
        <v>27</v>
      </c>
      <c r="E80" s="64" t="s">
        <v>24</v>
      </c>
      <c r="F80" s="64" t="s">
        <v>15</v>
      </c>
      <c r="G80" s="64">
        <v>45005</v>
      </c>
      <c r="H80" s="64">
        <v>403</v>
      </c>
      <c r="I80" s="64">
        <v>159.51</v>
      </c>
      <c r="J80" s="64">
        <v>262.98</v>
      </c>
    </row>
    <row r="81" spans="1:10">
      <c r="A81" s="64" t="s">
        <v>108</v>
      </c>
      <c r="B81" s="64" t="s">
        <v>17</v>
      </c>
      <c r="C81" s="64" t="s">
        <v>50</v>
      </c>
      <c r="D81" s="64" t="s">
        <v>23</v>
      </c>
      <c r="E81" s="64" t="s">
        <v>14</v>
      </c>
      <c r="F81" s="64" t="s">
        <v>15</v>
      </c>
      <c r="G81" s="64">
        <v>45006</v>
      </c>
      <c r="H81" s="64">
        <v>169</v>
      </c>
      <c r="J81" s="64">
        <v>339.51</v>
      </c>
    </row>
    <row r="82" spans="1:10">
      <c r="A82" s="64" t="s">
        <v>109</v>
      </c>
      <c r="B82" s="64" t="s">
        <v>11</v>
      </c>
      <c r="C82" s="64" t="s">
        <v>31</v>
      </c>
      <c r="D82" s="64" t="s">
        <v>13</v>
      </c>
      <c r="E82" s="64" t="s">
        <v>14</v>
      </c>
      <c r="F82" s="64" t="s">
        <v>20</v>
      </c>
      <c r="G82" s="64">
        <v>45007</v>
      </c>
      <c r="H82" s="64">
        <v>372</v>
      </c>
      <c r="I82" s="64">
        <v>429.7</v>
      </c>
      <c r="J82" s="64">
        <v>290.27999999999997</v>
      </c>
    </row>
    <row r="83" spans="1:10">
      <c r="A83" s="64" t="s">
        <v>110</v>
      </c>
      <c r="B83" s="64" t="s">
        <v>17</v>
      </c>
      <c r="C83" s="64" t="s">
        <v>12</v>
      </c>
      <c r="D83" s="64" t="s">
        <v>42</v>
      </c>
      <c r="E83" s="64" t="s">
        <v>24</v>
      </c>
      <c r="F83" s="64" t="s">
        <v>28</v>
      </c>
      <c r="G83" s="64">
        <v>45008</v>
      </c>
      <c r="H83" s="64">
        <v>446</v>
      </c>
      <c r="I83" s="64">
        <v>9.4700000000000006</v>
      </c>
      <c r="J83" s="64">
        <v>317.25</v>
      </c>
    </row>
    <row r="84" spans="1:10">
      <c r="A84" s="64" t="s">
        <v>111</v>
      </c>
      <c r="B84" s="64" t="s">
        <v>22</v>
      </c>
      <c r="C84" s="64" t="s">
        <v>18</v>
      </c>
      <c r="D84" s="64" t="s">
        <v>27</v>
      </c>
      <c r="E84" s="64" t="s">
        <v>14</v>
      </c>
      <c r="F84" s="64" t="s">
        <v>15</v>
      </c>
      <c r="G84" s="64">
        <v>45009</v>
      </c>
      <c r="H84" s="64">
        <v>167</v>
      </c>
      <c r="I84" s="64">
        <v>296.26</v>
      </c>
      <c r="J84" s="64">
        <v>163.11000000000001</v>
      </c>
    </row>
    <row r="85" spans="1:10">
      <c r="A85" s="64" t="s">
        <v>112</v>
      </c>
      <c r="B85" s="64" t="s">
        <v>17</v>
      </c>
      <c r="C85" s="64" t="s">
        <v>50</v>
      </c>
      <c r="D85" s="64" t="s">
        <v>27</v>
      </c>
      <c r="E85" s="64" t="s">
        <v>24</v>
      </c>
      <c r="F85" s="64" t="s">
        <v>15</v>
      </c>
      <c r="G85" s="64">
        <v>45010</v>
      </c>
      <c r="H85" s="64">
        <v>48</v>
      </c>
      <c r="I85" s="64">
        <v>301.36</v>
      </c>
      <c r="J85" s="64">
        <v>262.32</v>
      </c>
    </row>
    <row r="86" spans="1:10">
      <c r="A86" s="64" t="s">
        <v>113</v>
      </c>
      <c r="B86" s="64" t="s">
        <v>11</v>
      </c>
      <c r="C86" s="64" t="s">
        <v>50</v>
      </c>
      <c r="D86" s="64" t="s">
        <v>27</v>
      </c>
      <c r="E86" s="64" t="s">
        <v>24</v>
      </c>
      <c r="F86" s="64" t="s">
        <v>28</v>
      </c>
      <c r="G86" s="64">
        <v>45011</v>
      </c>
      <c r="H86" s="64">
        <v>424</v>
      </c>
      <c r="I86" s="64">
        <v>201.35</v>
      </c>
      <c r="J86" s="64">
        <v>142.99</v>
      </c>
    </row>
    <row r="87" spans="1:10">
      <c r="A87" s="64" t="s">
        <v>114</v>
      </c>
      <c r="B87" s="64" t="s">
        <v>11</v>
      </c>
      <c r="C87" s="64" t="s">
        <v>18</v>
      </c>
      <c r="D87" s="64" t="s">
        <v>23</v>
      </c>
      <c r="E87" s="64" t="s">
        <v>14</v>
      </c>
      <c r="F87" s="64" t="s">
        <v>15</v>
      </c>
      <c r="G87" s="64">
        <v>45012</v>
      </c>
      <c r="H87" s="64">
        <v>91</v>
      </c>
      <c r="I87" s="64">
        <v>122.33</v>
      </c>
      <c r="J87" s="64">
        <v>211.15</v>
      </c>
    </row>
    <row r="88" spans="1:10">
      <c r="A88" s="64" t="s">
        <v>115</v>
      </c>
      <c r="B88" s="64" t="s">
        <v>48</v>
      </c>
      <c r="C88" s="64" t="s">
        <v>50</v>
      </c>
      <c r="D88" s="64" t="s">
        <v>13</v>
      </c>
      <c r="E88" s="64" t="s">
        <v>14</v>
      </c>
      <c r="F88" s="64" t="s">
        <v>28</v>
      </c>
      <c r="G88" s="64">
        <v>45013</v>
      </c>
      <c r="H88" s="64">
        <v>365</v>
      </c>
      <c r="I88" s="64">
        <v>121.16</v>
      </c>
      <c r="J88" s="64">
        <v>193.69</v>
      </c>
    </row>
    <row r="89" spans="1:10">
      <c r="A89" s="64" t="s">
        <v>116</v>
      </c>
      <c r="B89" s="64" t="s">
        <v>22</v>
      </c>
      <c r="C89" s="64" t="s">
        <v>31</v>
      </c>
      <c r="D89" s="64" t="s">
        <v>13</v>
      </c>
      <c r="E89" s="64" t="s">
        <v>14</v>
      </c>
      <c r="F89" s="64" t="s">
        <v>28</v>
      </c>
      <c r="G89" s="64">
        <v>45014</v>
      </c>
      <c r="H89" s="64">
        <v>267</v>
      </c>
      <c r="I89" s="64">
        <v>442.44</v>
      </c>
      <c r="J89" s="64">
        <v>72.400000000000006</v>
      </c>
    </row>
    <row r="90" spans="1:10">
      <c r="A90" s="64" t="s">
        <v>117</v>
      </c>
      <c r="B90" s="64" t="s">
        <v>17</v>
      </c>
      <c r="C90" s="64" t="s">
        <v>12</v>
      </c>
      <c r="D90" s="64" t="s">
        <v>42</v>
      </c>
      <c r="E90" s="64" t="s">
        <v>24</v>
      </c>
      <c r="F90" s="64" t="s">
        <v>28</v>
      </c>
      <c r="G90" s="64">
        <v>45015</v>
      </c>
      <c r="H90" s="64">
        <v>215</v>
      </c>
      <c r="I90" s="64">
        <v>223.8</v>
      </c>
      <c r="J90" s="64">
        <v>156.06</v>
      </c>
    </row>
    <row r="91" spans="1:10">
      <c r="A91" s="64" t="s">
        <v>118</v>
      </c>
      <c r="B91" s="64" t="s">
        <v>48</v>
      </c>
      <c r="C91" s="64" t="s">
        <v>18</v>
      </c>
      <c r="D91" s="64" t="s">
        <v>42</v>
      </c>
      <c r="E91" s="64" t="s">
        <v>14</v>
      </c>
      <c r="F91" s="64" t="s">
        <v>28</v>
      </c>
      <c r="G91" s="64">
        <v>45016</v>
      </c>
      <c r="H91" s="64">
        <v>86</v>
      </c>
      <c r="I91" s="64">
        <v>168.79</v>
      </c>
      <c r="J91" s="64">
        <v>385.6</v>
      </c>
    </row>
    <row r="92" spans="1:10">
      <c r="A92" s="64" t="s">
        <v>119</v>
      </c>
      <c r="B92" s="64" t="s">
        <v>17</v>
      </c>
      <c r="C92" s="64" t="s">
        <v>12</v>
      </c>
      <c r="D92" s="64" t="s">
        <v>27</v>
      </c>
      <c r="E92" s="64" t="s">
        <v>24</v>
      </c>
      <c r="F92" s="64" t="s">
        <v>28</v>
      </c>
      <c r="G92" s="64">
        <v>45017</v>
      </c>
      <c r="H92" s="64">
        <v>486</v>
      </c>
      <c r="I92" s="64">
        <v>227.14</v>
      </c>
      <c r="J92" s="64">
        <v>100.93</v>
      </c>
    </row>
    <row r="93" spans="1:10">
      <c r="A93" s="64" t="s">
        <v>120</v>
      </c>
      <c r="B93" s="64" t="s">
        <v>17</v>
      </c>
      <c r="C93" s="64" t="s">
        <v>50</v>
      </c>
      <c r="D93" s="64" t="s">
        <v>42</v>
      </c>
      <c r="E93" s="64" t="s">
        <v>24</v>
      </c>
      <c r="F93" s="64" t="s">
        <v>20</v>
      </c>
      <c r="G93" s="64">
        <v>45018</v>
      </c>
      <c r="H93" s="64">
        <v>21</v>
      </c>
      <c r="J93" s="64">
        <v>55.25</v>
      </c>
    </row>
    <row r="94" spans="1:10">
      <c r="A94" s="64" t="s">
        <v>121</v>
      </c>
      <c r="B94" s="64" t="s">
        <v>48</v>
      </c>
      <c r="C94" s="64" t="s">
        <v>50</v>
      </c>
      <c r="D94" s="64" t="s">
        <v>23</v>
      </c>
      <c r="E94" s="64" t="s">
        <v>24</v>
      </c>
      <c r="F94" s="64" t="s">
        <v>15</v>
      </c>
      <c r="G94" s="64">
        <v>45019</v>
      </c>
      <c r="H94" s="64">
        <v>304</v>
      </c>
      <c r="I94" s="64">
        <v>77.150000000000006</v>
      </c>
      <c r="J94" s="64">
        <v>168.6</v>
      </c>
    </row>
    <row r="95" spans="1:10">
      <c r="A95" s="64" t="s">
        <v>122</v>
      </c>
      <c r="B95" s="64" t="s">
        <v>48</v>
      </c>
      <c r="C95" s="64" t="s">
        <v>18</v>
      </c>
      <c r="D95" s="64" t="s">
        <v>13</v>
      </c>
      <c r="E95" s="64" t="s">
        <v>14</v>
      </c>
      <c r="F95" s="64" t="s">
        <v>20</v>
      </c>
      <c r="G95" s="64">
        <v>45020</v>
      </c>
      <c r="H95" s="64">
        <v>459</v>
      </c>
      <c r="I95" s="64">
        <v>227.47</v>
      </c>
      <c r="J95" s="64">
        <v>316.55</v>
      </c>
    </row>
    <row r="96" spans="1:10">
      <c r="A96" s="64" t="s">
        <v>123</v>
      </c>
      <c r="B96" s="64" t="s">
        <v>48</v>
      </c>
      <c r="C96" s="64" t="s">
        <v>31</v>
      </c>
      <c r="D96" s="64" t="s">
        <v>27</v>
      </c>
      <c r="E96" s="64" t="s">
        <v>14</v>
      </c>
      <c r="F96" s="64" t="s">
        <v>15</v>
      </c>
      <c r="G96" s="64">
        <v>45021</v>
      </c>
      <c r="H96" s="64">
        <v>233</v>
      </c>
      <c r="I96" s="64">
        <v>296</v>
      </c>
      <c r="J96" s="64">
        <v>233.69</v>
      </c>
    </row>
    <row r="97" spans="1:10">
      <c r="A97" s="64" t="s">
        <v>124</v>
      </c>
      <c r="B97" s="64" t="s">
        <v>48</v>
      </c>
      <c r="C97" s="64" t="s">
        <v>26</v>
      </c>
      <c r="D97" s="64" t="s">
        <v>42</v>
      </c>
      <c r="E97" s="64" t="s">
        <v>24</v>
      </c>
      <c r="F97" s="64" t="s">
        <v>20</v>
      </c>
      <c r="G97" s="64">
        <v>45022</v>
      </c>
      <c r="H97" s="64">
        <v>22</v>
      </c>
      <c r="I97" s="64">
        <v>474.55</v>
      </c>
      <c r="J97" s="64">
        <v>273.02999999999997</v>
      </c>
    </row>
    <row r="98" spans="1:10">
      <c r="A98" s="64" t="s">
        <v>125</v>
      </c>
      <c r="B98" s="64" t="s">
        <v>48</v>
      </c>
      <c r="C98" s="64" t="s">
        <v>18</v>
      </c>
      <c r="D98" s="64" t="s">
        <v>23</v>
      </c>
      <c r="E98" s="64" t="s">
        <v>14</v>
      </c>
      <c r="F98" s="64" t="s">
        <v>28</v>
      </c>
      <c r="G98" s="64">
        <v>45023</v>
      </c>
      <c r="H98" s="64">
        <v>55</v>
      </c>
      <c r="I98" s="64">
        <v>130</v>
      </c>
      <c r="J98" s="64">
        <v>77.5</v>
      </c>
    </row>
    <row r="99" spans="1:10">
      <c r="A99" s="64" t="s">
        <v>126</v>
      </c>
      <c r="B99" s="64" t="s">
        <v>17</v>
      </c>
      <c r="C99" s="64" t="s">
        <v>26</v>
      </c>
      <c r="D99" s="64" t="s">
        <v>23</v>
      </c>
      <c r="E99" s="64" t="s">
        <v>14</v>
      </c>
      <c r="F99" s="64" t="s">
        <v>15</v>
      </c>
      <c r="G99" s="64">
        <v>45024</v>
      </c>
      <c r="H99" s="64">
        <v>164</v>
      </c>
      <c r="I99" s="64">
        <v>182.83</v>
      </c>
      <c r="J99" s="64">
        <v>248.34</v>
      </c>
    </row>
    <row r="100" spans="1:10">
      <c r="A100" s="64" t="s">
        <v>127</v>
      </c>
      <c r="B100" s="64" t="s">
        <v>48</v>
      </c>
      <c r="C100" s="64" t="s">
        <v>26</v>
      </c>
      <c r="D100" s="64" t="s">
        <v>42</v>
      </c>
      <c r="E100" s="64" t="s">
        <v>14</v>
      </c>
      <c r="F100" s="64" t="s">
        <v>15</v>
      </c>
      <c r="G100" s="64">
        <v>45025</v>
      </c>
      <c r="H100" s="64">
        <v>122</v>
      </c>
      <c r="I100" s="64">
        <v>192.78</v>
      </c>
      <c r="J100" s="64">
        <v>130.75</v>
      </c>
    </row>
    <row r="101" spans="1:10">
      <c r="A101" s="64" t="s">
        <v>128</v>
      </c>
      <c r="B101" s="64" t="s">
        <v>22</v>
      </c>
      <c r="C101" s="64" t="s">
        <v>31</v>
      </c>
      <c r="D101" s="64" t="s">
        <v>13</v>
      </c>
      <c r="E101" s="64" t="s">
        <v>24</v>
      </c>
      <c r="F101" s="64" t="s">
        <v>20</v>
      </c>
      <c r="G101" s="64">
        <v>45026</v>
      </c>
      <c r="H101" s="64">
        <v>242</v>
      </c>
      <c r="I101" s="64">
        <v>304.74</v>
      </c>
      <c r="J101" s="64">
        <v>334.05</v>
      </c>
    </row>
    <row r="102" spans="1:10">
      <c r="A102" s="64" t="s">
        <v>129</v>
      </c>
      <c r="B102" s="64" t="s">
        <v>11</v>
      </c>
      <c r="C102" s="64" t="s">
        <v>26</v>
      </c>
      <c r="D102" s="64" t="s">
        <v>42</v>
      </c>
      <c r="E102" s="64" t="s">
        <v>24</v>
      </c>
      <c r="F102" s="64" t="s">
        <v>20</v>
      </c>
      <c r="G102" s="64">
        <v>45027</v>
      </c>
      <c r="H102" s="64">
        <v>26</v>
      </c>
      <c r="I102" s="64">
        <v>181.58</v>
      </c>
      <c r="J102" s="64">
        <v>252.46</v>
      </c>
    </row>
    <row r="103" spans="1:10">
      <c r="A103" s="64" t="s">
        <v>130</v>
      </c>
      <c r="B103" s="64" t="s">
        <v>48</v>
      </c>
      <c r="C103" s="64" t="s">
        <v>26</v>
      </c>
      <c r="D103" s="64" t="s">
        <v>27</v>
      </c>
      <c r="E103" s="64" t="s">
        <v>14</v>
      </c>
      <c r="F103" s="64" t="s">
        <v>15</v>
      </c>
      <c r="G103" s="64">
        <v>45028</v>
      </c>
      <c r="H103" s="64">
        <v>369</v>
      </c>
      <c r="I103" s="64">
        <v>269.08999999999997</v>
      </c>
      <c r="J103" s="64">
        <v>81.14</v>
      </c>
    </row>
    <row r="104" spans="1:10">
      <c r="A104" s="64" t="s">
        <v>131</v>
      </c>
      <c r="B104" s="64" t="s">
        <v>48</v>
      </c>
      <c r="C104" s="64" t="s">
        <v>31</v>
      </c>
      <c r="D104" s="64" t="s">
        <v>42</v>
      </c>
      <c r="E104" s="64" t="s">
        <v>24</v>
      </c>
      <c r="F104" s="64" t="s">
        <v>20</v>
      </c>
      <c r="G104" s="64">
        <v>45029</v>
      </c>
      <c r="H104" s="64">
        <v>232</v>
      </c>
      <c r="I104" s="64">
        <v>391.99</v>
      </c>
      <c r="J104" s="64">
        <v>27.72</v>
      </c>
    </row>
    <row r="105" spans="1:10">
      <c r="A105" s="64" t="s">
        <v>132</v>
      </c>
      <c r="B105" s="64" t="s">
        <v>17</v>
      </c>
      <c r="C105" s="64" t="s">
        <v>26</v>
      </c>
      <c r="D105" s="64" t="s">
        <v>23</v>
      </c>
      <c r="E105" s="64" t="s">
        <v>14</v>
      </c>
      <c r="F105" s="64" t="s">
        <v>20</v>
      </c>
      <c r="G105" s="64">
        <v>45030</v>
      </c>
      <c r="H105" s="64">
        <v>363</v>
      </c>
      <c r="I105" s="64">
        <v>354.17</v>
      </c>
      <c r="J105" s="64">
        <v>18.97</v>
      </c>
    </row>
    <row r="106" spans="1:10">
      <c r="A106" s="64" t="s">
        <v>133</v>
      </c>
      <c r="B106" s="64" t="s">
        <v>48</v>
      </c>
      <c r="C106" s="64" t="s">
        <v>26</v>
      </c>
      <c r="D106" s="64" t="s">
        <v>42</v>
      </c>
      <c r="E106" s="64" t="s">
        <v>14</v>
      </c>
      <c r="F106" s="64" t="s">
        <v>20</v>
      </c>
      <c r="G106" s="64">
        <v>45031</v>
      </c>
      <c r="H106" s="64">
        <v>197</v>
      </c>
      <c r="I106" s="64">
        <v>225.95</v>
      </c>
      <c r="J106" s="64">
        <v>149.82</v>
      </c>
    </row>
    <row r="107" spans="1:10">
      <c r="A107" s="64" t="s">
        <v>134</v>
      </c>
      <c r="B107" s="64" t="s">
        <v>48</v>
      </c>
      <c r="C107" s="64" t="s">
        <v>26</v>
      </c>
      <c r="D107" s="64" t="s">
        <v>13</v>
      </c>
      <c r="E107" s="64" t="s">
        <v>14</v>
      </c>
      <c r="F107" s="64" t="s">
        <v>28</v>
      </c>
      <c r="G107" s="64">
        <v>45032</v>
      </c>
      <c r="H107" s="64">
        <v>457</v>
      </c>
      <c r="I107" s="64">
        <v>432.79</v>
      </c>
      <c r="J107" s="64">
        <v>107.81</v>
      </c>
    </row>
    <row r="108" spans="1:10">
      <c r="A108" s="64" t="s">
        <v>135</v>
      </c>
      <c r="B108" s="64" t="s">
        <v>48</v>
      </c>
      <c r="C108" s="64" t="s">
        <v>18</v>
      </c>
      <c r="D108" s="64" t="s">
        <v>19</v>
      </c>
      <c r="E108" s="64" t="s">
        <v>14</v>
      </c>
      <c r="F108" s="64" t="s">
        <v>28</v>
      </c>
      <c r="G108" s="64">
        <v>45033</v>
      </c>
      <c r="H108" s="64">
        <v>353</v>
      </c>
      <c r="I108" s="64">
        <v>281.27999999999997</v>
      </c>
      <c r="J108" s="64">
        <v>259.14</v>
      </c>
    </row>
    <row r="109" spans="1:10">
      <c r="A109" s="64" t="s">
        <v>136</v>
      </c>
      <c r="B109" s="64" t="s">
        <v>17</v>
      </c>
      <c r="C109" s="64" t="s">
        <v>18</v>
      </c>
      <c r="D109" s="64" t="s">
        <v>42</v>
      </c>
      <c r="E109" s="64" t="s">
        <v>24</v>
      </c>
      <c r="F109" s="64" t="s">
        <v>20</v>
      </c>
      <c r="G109" s="64">
        <v>45034</v>
      </c>
      <c r="H109" s="64">
        <v>374</v>
      </c>
      <c r="I109" s="64">
        <v>272.25</v>
      </c>
      <c r="J109" s="64">
        <v>200.73</v>
      </c>
    </row>
    <row r="110" spans="1:10">
      <c r="A110" s="64" t="s">
        <v>137</v>
      </c>
      <c r="B110" s="64" t="s">
        <v>48</v>
      </c>
      <c r="C110" s="64" t="s">
        <v>18</v>
      </c>
      <c r="D110" s="64" t="s">
        <v>13</v>
      </c>
      <c r="E110" s="64" t="s">
        <v>24</v>
      </c>
      <c r="F110" s="64" t="s">
        <v>20</v>
      </c>
      <c r="G110" s="64">
        <v>45035</v>
      </c>
      <c r="H110" s="64">
        <v>172</v>
      </c>
      <c r="I110" s="64">
        <v>21.92</v>
      </c>
      <c r="J110" s="64">
        <v>107.88</v>
      </c>
    </row>
    <row r="111" spans="1:10">
      <c r="A111" s="64" t="s">
        <v>138</v>
      </c>
      <c r="B111" s="64" t="s">
        <v>11</v>
      </c>
      <c r="C111" s="64" t="s">
        <v>31</v>
      </c>
      <c r="D111" s="64" t="s">
        <v>13</v>
      </c>
      <c r="E111" s="64" t="s">
        <v>24</v>
      </c>
      <c r="F111" s="64" t="s">
        <v>28</v>
      </c>
      <c r="G111" s="64">
        <v>45036</v>
      </c>
      <c r="H111" s="64">
        <v>335</v>
      </c>
      <c r="I111" s="64">
        <v>493.41</v>
      </c>
      <c r="J111" s="64">
        <v>61.4</v>
      </c>
    </row>
    <row r="112" spans="1:10">
      <c r="A112" s="64" t="s">
        <v>139</v>
      </c>
      <c r="B112" s="64" t="s">
        <v>17</v>
      </c>
      <c r="C112" s="64" t="s">
        <v>50</v>
      </c>
      <c r="D112" s="64" t="s">
        <v>23</v>
      </c>
      <c r="E112" s="64" t="s">
        <v>14</v>
      </c>
      <c r="F112" s="64" t="s">
        <v>28</v>
      </c>
      <c r="G112" s="64">
        <v>45037</v>
      </c>
      <c r="H112" s="64">
        <v>476</v>
      </c>
      <c r="I112" s="64">
        <v>65.87</v>
      </c>
      <c r="J112" s="64">
        <v>52.63</v>
      </c>
    </row>
    <row r="113" spans="1:10">
      <c r="A113" s="64" t="s">
        <v>140</v>
      </c>
      <c r="B113" s="64" t="s">
        <v>11</v>
      </c>
      <c r="C113" s="64" t="s">
        <v>26</v>
      </c>
      <c r="D113" s="64" t="s">
        <v>13</v>
      </c>
      <c r="E113" s="64" t="s">
        <v>14</v>
      </c>
      <c r="F113" s="64" t="s">
        <v>15</v>
      </c>
      <c r="G113" s="64">
        <v>45038</v>
      </c>
      <c r="H113" s="64">
        <v>423</v>
      </c>
      <c r="I113" s="64">
        <v>119.41</v>
      </c>
      <c r="J113" s="64">
        <v>346.13</v>
      </c>
    </row>
    <row r="114" spans="1:10">
      <c r="A114" s="64" t="s">
        <v>141</v>
      </c>
      <c r="B114" s="64" t="s">
        <v>17</v>
      </c>
      <c r="C114" s="64" t="s">
        <v>26</v>
      </c>
      <c r="D114" s="64" t="s">
        <v>13</v>
      </c>
      <c r="E114" s="64" t="s">
        <v>14</v>
      </c>
      <c r="F114" s="64" t="s">
        <v>15</v>
      </c>
      <c r="G114" s="64">
        <v>45039</v>
      </c>
      <c r="H114" s="64">
        <v>464</v>
      </c>
      <c r="I114" s="64">
        <v>30.59</v>
      </c>
      <c r="J114" s="64">
        <v>98.9</v>
      </c>
    </row>
    <row r="115" spans="1:10">
      <c r="A115" s="64" t="s">
        <v>142</v>
      </c>
      <c r="B115" s="64" t="s">
        <v>48</v>
      </c>
      <c r="C115" s="64" t="s">
        <v>31</v>
      </c>
      <c r="D115" s="64" t="s">
        <v>13</v>
      </c>
      <c r="E115" s="64" t="s">
        <v>24</v>
      </c>
      <c r="F115" s="64" t="s">
        <v>28</v>
      </c>
      <c r="G115" s="64">
        <v>45040</v>
      </c>
      <c r="H115" s="64">
        <v>83</v>
      </c>
      <c r="I115" s="64">
        <v>321.8</v>
      </c>
      <c r="J115" s="64">
        <v>261.38</v>
      </c>
    </row>
    <row r="116" spans="1:10">
      <c r="A116" s="64" t="s">
        <v>143</v>
      </c>
      <c r="B116" s="64" t="s">
        <v>11</v>
      </c>
      <c r="C116" s="64" t="s">
        <v>26</v>
      </c>
      <c r="D116" s="64" t="s">
        <v>13</v>
      </c>
      <c r="E116" s="64" t="s">
        <v>14</v>
      </c>
      <c r="F116" s="64" t="s">
        <v>20</v>
      </c>
      <c r="G116" s="64">
        <v>45041</v>
      </c>
      <c r="H116" s="64">
        <v>242</v>
      </c>
      <c r="I116" s="64">
        <v>116.23</v>
      </c>
      <c r="J116" s="64">
        <v>324.64999999999998</v>
      </c>
    </row>
    <row r="117" spans="1:10">
      <c r="A117" s="64" t="s">
        <v>144</v>
      </c>
      <c r="B117" s="64" t="s">
        <v>17</v>
      </c>
      <c r="C117" s="64" t="s">
        <v>18</v>
      </c>
      <c r="D117" s="64" t="s">
        <v>27</v>
      </c>
      <c r="E117" s="64" t="s">
        <v>24</v>
      </c>
      <c r="F117" s="64" t="s">
        <v>20</v>
      </c>
      <c r="G117" s="64">
        <v>45042</v>
      </c>
      <c r="H117" s="64">
        <v>233</v>
      </c>
      <c r="I117" s="64">
        <v>94.11</v>
      </c>
      <c r="J117" s="64">
        <v>246.4</v>
      </c>
    </row>
    <row r="118" spans="1:10">
      <c r="A118" s="64" t="s">
        <v>145</v>
      </c>
      <c r="B118" s="64" t="s">
        <v>22</v>
      </c>
      <c r="C118" s="64" t="s">
        <v>50</v>
      </c>
      <c r="D118" s="64" t="s">
        <v>27</v>
      </c>
      <c r="E118" s="64" t="s">
        <v>24</v>
      </c>
      <c r="F118" s="64" t="s">
        <v>20</v>
      </c>
      <c r="G118" s="64">
        <v>45043</v>
      </c>
      <c r="H118" s="64">
        <v>491</v>
      </c>
      <c r="I118" s="64">
        <v>48.84</v>
      </c>
      <c r="J118" s="64">
        <v>344.11</v>
      </c>
    </row>
    <row r="119" spans="1:10">
      <c r="A119" s="64" t="s">
        <v>146</v>
      </c>
      <c r="B119" s="64" t="s">
        <v>388</v>
      </c>
      <c r="C119" s="64" t="s">
        <v>12</v>
      </c>
      <c r="D119" s="64" t="s">
        <v>23</v>
      </c>
      <c r="E119" s="64" t="s">
        <v>24</v>
      </c>
      <c r="F119" s="64" t="s">
        <v>20</v>
      </c>
      <c r="G119" s="64">
        <v>45044</v>
      </c>
      <c r="H119" s="64">
        <v>328</v>
      </c>
      <c r="I119" s="64">
        <v>56.14</v>
      </c>
      <c r="J119" s="64">
        <v>158.16999999999999</v>
      </c>
    </row>
    <row r="120" spans="1:10">
      <c r="A120" s="64" t="s">
        <v>147</v>
      </c>
      <c r="B120" s="64" t="s">
        <v>17</v>
      </c>
      <c r="C120" s="64" t="s">
        <v>26</v>
      </c>
      <c r="D120" s="64" t="s">
        <v>42</v>
      </c>
      <c r="E120" s="64" t="s">
        <v>24</v>
      </c>
      <c r="F120" s="64" t="s">
        <v>15</v>
      </c>
      <c r="G120" s="64">
        <v>45045</v>
      </c>
      <c r="H120" s="64">
        <v>421</v>
      </c>
      <c r="I120" s="64">
        <v>294.41000000000003</v>
      </c>
      <c r="J120" s="64">
        <v>382.58</v>
      </c>
    </row>
    <row r="121" spans="1:10">
      <c r="A121" s="64" t="s">
        <v>148</v>
      </c>
      <c r="B121" s="64" t="s">
        <v>22</v>
      </c>
      <c r="C121" s="64" t="s">
        <v>18</v>
      </c>
      <c r="D121" s="64" t="s">
        <v>13</v>
      </c>
      <c r="E121" s="64" t="s">
        <v>24</v>
      </c>
      <c r="F121" s="64" t="s">
        <v>28</v>
      </c>
      <c r="G121" s="64">
        <v>45046</v>
      </c>
      <c r="H121" s="64">
        <v>69</v>
      </c>
      <c r="I121" s="64">
        <v>345.66</v>
      </c>
      <c r="J121" s="64">
        <v>54.99</v>
      </c>
    </row>
    <row r="122" spans="1:10">
      <c r="A122" s="64" t="s">
        <v>149</v>
      </c>
      <c r="B122" s="64" t="s">
        <v>17</v>
      </c>
      <c r="C122" s="64" t="s">
        <v>12</v>
      </c>
      <c r="D122" s="64" t="s">
        <v>42</v>
      </c>
      <c r="E122" s="64" t="s">
        <v>24</v>
      </c>
      <c r="F122" s="64" t="s">
        <v>20</v>
      </c>
      <c r="G122" s="64">
        <v>45047</v>
      </c>
      <c r="H122" s="64">
        <v>344</v>
      </c>
      <c r="I122" s="64">
        <v>201.7</v>
      </c>
      <c r="J122" s="64">
        <v>42.66</v>
      </c>
    </row>
    <row r="123" spans="1:10">
      <c r="A123" s="64" t="s">
        <v>150</v>
      </c>
      <c r="B123" s="64" t="s">
        <v>388</v>
      </c>
      <c r="C123" s="64" t="s">
        <v>50</v>
      </c>
      <c r="D123" s="64" t="s">
        <v>42</v>
      </c>
      <c r="E123" s="64" t="s">
        <v>14</v>
      </c>
      <c r="F123" s="64" t="s">
        <v>15</v>
      </c>
      <c r="G123" s="64">
        <v>45048</v>
      </c>
      <c r="H123" s="64">
        <v>231</v>
      </c>
      <c r="I123" s="64">
        <v>242.55</v>
      </c>
      <c r="J123" s="64">
        <v>264.16000000000003</v>
      </c>
    </row>
    <row r="124" spans="1:10">
      <c r="A124" s="64" t="s">
        <v>151</v>
      </c>
      <c r="B124" s="64" t="s">
        <v>48</v>
      </c>
      <c r="C124" s="64" t="s">
        <v>12</v>
      </c>
      <c r="D124" s="64" t="s">
        <v>23</v>
      </c>
      <c r="E124" s="64" t="s">
        <v>14</v>
      </c>
      <c r="F124" s="64" t="s">
        <v>20</v>
      </c>
      <c r="G124" s="64">
        <v>45049</v>
      </c>
      <c r="H124" s="64">
        <v>46</v>
      </c>
      <c r="I124" s="64">
        <v>344.55</v>
      </c>
      <c r="J124" s="64">
        <v>377.25</v>
      </c>
    </row>
    <row r="125" spans="1:10">
      <c r="A125" s="64" t="s">
        <v>152</v>
      </c>
      <c r="B125" s="64" t="s">
        <v>11</v>
      </c>
      <c r="C125" s="64" t="s">
        <v>18</v>
      </c>
      <c r="D125" s="64" t="s">
        <v>13</v>
      </c>
      <c r="E125" s="64" t="s">
        <v>24</v>
      </c>
      <c r="F125" s="64" t="s">
        <v>28</v>
      </c>
      <c r="G125" s="64">
        <v>45050</v>
      </c>
      <c r="H125" s="64">
        <v>486</v>
      </c>
      <c r="I125" s="64">
        <v>13.6</v>
      </c>
      <c r="J125" s="64">
        <v>323.94</v>
      </c>
    </row>
    <row r="126" spans="1:10">
      <c r="A126" s="64" t="s">
        <v>153</v>
      </c>
      <c r="B126" s="64" t="s">
        <v>22</v>
      </c>
      <c r="C126" s="64" t="s">
        <v>12</v>
      </c>
      <c r="D126" s="64" t="s">
        <v>13</v>
      </c>
      <c r="E126" s="64" t="s">
        <v>24</v>
      </c>
      <c r="F126" s="64" t="s">
        <v>15</v>
      </c>
      <c r="G126" s="64">
        <v>45051</v>
      </c>
      <c r="H126" s="64">
        <v>287</v>
      </c>
      <c r="I126" s="64">
        <v>164.95</v>
      </c>
      <c r="J126" s="64">
        <v>32.409999999999997</v>
      </c>
    </row>
    <row r="127" spans="1:10">
      <c r="A127" s="64" t="s">
        <v>154</v>
      </c>
      <c r="B127" s="64" t="s">
        <v>17</v>
      </c>
      <c r="C127" s="64" t="s">
        <v>31</v>
      </c>
      <c r="D127" s="64" t="s">
        <v>19</v>
      </c>
      <c r="E127" s="64" t="s">
        <v>14</v>
      </c>
      <c r="F127" s="64" t="s">
        <v>28</v>
      </c>
      <c r="G127" s="64">
        <v>45052</v>
      </c>
      <c r="H127" s="64">
        <v>205</v>
      </c>
      <c r="I127" s="64">
        <v>486.68</v>
      </c>
      <c r="J127" s="64">
        <v>113.19</v>
      </c>
    </row>
    <row r="128" spans="1:10">
      <c r="A128" s="64" t="s">
        <v>155</v>
      </c>
      <c r="B128" s="64" t="s">
        <v>48</v>
      </c>
      <c r="C128" s="64" t="s">
        <v>12</v>
      </c>
      <c r="D128" s="64" t="s">
        <v>42</v>
      </c>
      <c r="E128" s="64" t="s">
        <v>24</v>
      </c>
      <c r="F128" s="64" t="s">
        <v>28</v>
      </c>
      <c r="G128" s="64">
        <v>45053</v>
      </c>
      <c r="H128" s="64">
        <v>413</v>
      </c>
      <c r="I128" s="64">
        <v>292.16000000000003</v>
      </c>
      <c r="J128" s="64">
        <v>372.27</v>
      </c>
    </row>
    <row r="129" spans="1:10">
      <c r="A129" s="64" t="s">
        <v>156</v>
      </c>
      <c r="B129" s="64" t="s">
        <v>22</v>
      </c>
      <c r="C129" s="64" t="s">
        <v>26</v>
      </c>
      <c r="D129" s="64" t="s">
        <v>42</v>
      </c>
      <c r="E129" s="64" t="s">
        <v>24</v>
      </c>
      <c r="F129" s="64" t="s">
        <v>15</v>
      </c>
      <c r="G129" s="64">
        <v>45054</v>
      </c>
      <c r="H129" s="64">
        <v>361</v>
      </c>
      <c r="I129" s="64">
        <v>130.84</v>
      </c>
      <c r="J129" s="64">
        <v>102.72</v>
      </c>
    </row>
    <row r="130" spans="1:10">
      <c r="A130" s="64" t="s">
        <v>157</v>
      </c>
      <c r="B130" s="64" t="s">
        <v>17</v>
      </c>
      <c r="C130" s="64" t="s">
        <v>26</v>
      </c>
      <c r="D130" s="64" t="s">
        <v>27</v>
      </c>
      <c r="E130" s="64" t="s">
        <v>14</v>
      </c>
      <c r="F130" s="64" t="s">
        <v>15</v>
      </c>
      <c r="G130" s="64">
        <v>45055</v>
      </c>
      <c r="H130" s="64">
        <v>493</v>
      </c>
      <c r="I130" s="64">
        <v>263.26</v>
      </c>
      <c r="J130" s="64">
        <v>312.91000000000003</v>
      </c>
    </row>
    <row r="131" spans="1:10">
      <c r="A131" s="64" t="s">
        <v>158</v>
      </c>
      <c r="B131" s="64" t="s">
        <v>17</v>
      </c>
      <c r="C131" s="64" t="s">
        <v>31</v>
      </c>
      <c r="D131" s="64" t="s">
        <v>19</v>
      </c>
      <c r="E131" s="64" t="s">
        <v>24</v>
      </c>
      <c r="F131" s="64" t="s">
        <v>15</v>
      </c>
      <c r="G131" s="64">
        <v>45056</v>
      </c>
      <c r="H131" s="64">
        <v>251</v>
      </c>
      <c r="I131" s="64">
        <v>174.61</v>
      </c>
      <c r="J131" s="64">
        <v>330.4</v>
      </c>
    </row>
    <row r="132" spans="1:10">
      <c r="A132" s="64" t="s">
        <v>159</v>
      </c>
      <c r="B132" s="64" t="s">
        <v>17</v>
      </c>
      <c r="C132" s="64" t="s">
        <v>18</v>
      </c>
      <c r="D132" s="64" t="s">
        <v>27</v>
      </c>
      <c r="E132" s="64" t="s">
        <v>24</v>
      </c>
      <c r="F132" s="64" t="s">
        <v>15</v>
      </c>
      <c r="G132" s="64">
        <v>45057</v>
      </c>
      <c r="I132" s="64">
        <v>268.45999999999998</v>
      </c>
      <c r="J132" s="64">
        <v>199.19</v>
      </c>
    </row>
    <row r="133" spans="1:10">
      <c r="A133" s="64" t="s">
        <v>160</v>
      </c>
      <c r="B133" s="64" t="s">
        <v>22</v>
      </c>
      <c r="C133" s="64" t="s">
        <v>26</v>
      </c>
      <c r="D133" s="64" t="s">
        <v>27</v>
      </c>
      <c r="E133" s="64" t="s">
        <v>24</v>
      </c>
      <c r="F133" s="64" t="s">
        <v>15</v>
      </c>
      <c r="G133" s="64">
        <v>45058</v>
      </c>
      <c r="H133" s="64">
        <v>228</v>
      </c>
      <c r="I133" s="64">
        <v>67.239999999999995</v>
      </c>
      <c r="J133" s="64">
        <v>155.77000000000001</v>
      </c>
    </row>
    <row r="134" spans="1:10">
      <c r="A134" s="64" t="s">
        <v>161</v>
      </c>
      <c r="B134" s="64" t="s">
        <v>22</v>
      </c>
      <c r="C134" s="64" t="s">
        <v>50</v>
      </c>
      <c r="D134" s="64" t="s">
        <v>27</v>
      </c>
      <c r="E134" s="64" t="s">
        <v>14</v>
      </c>
      <c r="F134" s="64" t="s">
        <v>15</v>
      </c>
      <c r="G134" s="64">
        <v>45059</v>
      </c>
      <c r="H134" s="64">
        <v>201</v>
      </c>
      <c r="I134" s="64">
        <v>70.69</v>
      </c>
      <c r="J134" s="64">
        <v>181.15</v>
      </c>
    </row>
    <row r="135" spans="1:10">
      <c r="A135" s="64" t="s">
        <v>162</v>
      </c>
      <c r="B135" s="64" t="s">
        <v>22</v>
      </c>
      <c r="C135" s="64" t="s">
        <v>26</v>
      </c>
      <c r="D135" s="64" t="s">
        <v>23</v>
      </c>
      <c r="E135" s="64" t="s">
        <v>14</v>
      </c>
      <c r="F135" s="64" t="s">
        <v>15</v>
      </c>
      <c r="G135" s="64">
        <v>45060</v>
      </c>
      <c r="H135" s="64">
        <v>26</v>
      </c>
      <c r="I135" s="64">
        <v>76.05</v>
      </c>
      <c r="J135" s="64">
        <v>92.33</v>
      </c>
    </row>
    <row r="136" spans="1:10">
      <c r="A136" s="64" t="s">
        <v>163</v>
      </c>
      <c r="B136" s="64" t="s">
        <v>11</v>
      </c>
      <c r="C136" s="64" t="s">
        <v>26</v>
      </c>
      <c r="D136" s="64" t="s">
        <v>23</v>
      </c>
      <c r="E136" s="64" t="s">
        <v>14</v>
      </c>
      <c r="F136" s="64" t="s">
        <v>20</v>
      </c>
      <c r="G136" s="64">
        <v>45061</v>
      </c>
      <c r="H136" s="64">
        <v>21</v>
      </c>
      <c r="I136" s="64">
        <v>470.21</v>
      </c>
      <c r="J136" s="64">
        <v>355.98</v>
      </c>
    </row>
    <row r="137" spans="1:10">
      <c r="A137" s="64" t="s">
        <v>164</v>
      </c>
      <c r="B137" s="64" t="s">
        <v>22</v>
      </c>
      <c r="C137" s="64" t="s">
        <v>18</v>
      </c>
      <c r="D137" s="64" t="s">
        <v>27</v>
      </c>
      <c r="E137" s="64" t="s">
        <v>24</v>
      </c>
      <c r="F137" s="64" t="s">
        <v>28</v>
      </c>
      <c r="G137" s="64">
        <v>45062</v>
      </c>
      <c r="H137" s="64">
        <v>415</v>
      </c>
      <c r="I137" s="64">
        <v>367.78</v>
      </c>
      <c r="J137" s="64">
        <v>181.35</v>
      </c>
    </row>
    <row r="138" spans="1:10">
      <c r="A138" s="64" t="s">
        <v>165</v>
      </c>
      <c r="B138" s="64" t="s">
        <v>22</v>
      </c>
      <c r="C138" s="64" t="s">
        <v>12</v>
      </c>
      <c r="D138" s="64" t="s">
        <v>19</v>
      </c>
      <c r="E138" s="64" t="s">
        <v>24</v>
      </c>
      <c r="F138" s="64" t="s">
        <v>15</v>
      </c>
      <c r="G138" s="64">
        <v>45063</v>
      </c>
      <c r="H138" s="64">
        <v>410</v>
      </c>
      <c r="I138" s="64">
        <v>85.38</v>
      </c>
      <c r="J138" s="64">
        <v>353.22</v>
      </c>
    </row>
    <row r="139" spans="1:10">
      <c r="A139" s="64" t="s">
        <v>166</v>
      </c>
      <c r="B139" s="64" t="s">
        <v>22</v>
      </c>
      <c r="C139" s="64" t="s">
        <v>26</v>
      </c>
      <c r="D139" s="64" t="s">
        <v>42</v>
      </c>
      <c r="E139" s="64" t="s">
        <v>14</v>
      </c>
      <c r="F139" s="64" t="s">
        <v>20</v>
      </c>
      <c r="G139" s="64">
        <v>45064</v>
      </c>
      <c r="H139" s="64">
        <v>403</v>
      </c>
      <c r="I139" s="64">
        <v>98.23</v>
      </c>
      <c r="J139" s="64">
        <v>44.07</v>
      </c>
    </row>
    <row r="140" spans="1:10">
      <c r="A140" s="64" t="s">
        <v>167</v>
      </c>
      <c r="B140" s="64" t="s">
        <v>11</v>
      </c>
      <c r="C140" s="64" t="s">
        <v>31</v>
      </c>
      <c r="D140" s="64" t="s">
        <v>19</v>
      </c>
      <c r="E140" s="64" t="s">
        <v>24</v>
      </c>
      <c r="F140" s="64" t="s">
        <v>20</v>
      </c>
      <c r="G140" s="64">
        <v>45065</v>
      </c>
      <c r="H140" s="64">
        <v>383</v>
      </c>
      <c r="I140" s="64">
        <v>366.76</v>
      </c>
      <c r="J140" s="64">
        <v>395.33</v>
      </c>
    </row>
    <row r="141" spans="1:10">
      <c r="A141" s="64" t="s">
        <v>168</v>
      </c>
      <c r="B141" s="64" t="s">
        <v>22</v>
      </c>
      <c r="C141" s="64" t="s">
        <v>12</v>
      </c>
      <c r="D141" s="64" t="s">
        <v>13</v>
      </c>
      <c r="E141" s="64" t="s">
        <v>24</v>
      </c>
      <c r="F141" s="64" t="s">
        <v>20</v>
      </c>
      <c r="G141" s="64">
        <v>45066</v>
      </c>
      <c r="H141" s="64">
        <v>202</v>
      </c>
      <c r="I141" s="64">
        <v>82.3</v>
      </c>
      <c r="J141" s="64">
        <v>178.42</v>
      </c>
    </row>
    <row r="142" spans="1:10">
      <c r="A142" s="64" t="s">
        <v>169</v>
      </c>
      <c r="B142" s="64" t="s">
        <v>17</v>
      </c>
      <c r="C142" s="64" t="s">
        <v>50</v>
      </c>
      <c r="D142" s="64" t="s">
        <v>23</v>
      </c>
      <c r="E142" s="64" t="s">
        <v>24</v>
      </c>
      <c r="F142" s="64" t="s">
        <v>28</v>
      </c>
      <c r="G142" s="64">
        <v>45067</v>
      </c>
      <c r="H142" s="64">
        <v>31</v>
      </c>
      <c r="I142" s="64">
        <v>121.11</v>
      </c>
      <c r="J142" s="64">
        <v>21.04</v>
      </c>
    </row>
    <row r="143" spans="1:10">
      <c r="A143" s="64" t="s">
        <v>170</v>
      </c>
      <c r="B143" s="64" t="s">
        <v>22</v>
      </c>
      <c r="C143" s="64" t="s">
        <v>18</v>
      </c>
      <c r="D143" s="64" t="s">
        <v>42</v>
      </c>
      <c r="E143" s="64" t="s">
        <v>24</v>
      </c>
      <c r="F143" s="64" t="s">
        <v>15</v>
      </c>
      <c r="G143" s="64">
        <v>45068</v>
      </c>
      <c r="H143" s="64">
        <v>483</v>
      </c>
      <c r="I143" s="64">
        <v>481.86</v>
      </c>
      <c r="J143" s="64">
        <v>17.13</v>
      </c>
    </row>
    <row r="144" spans="1:10">
      <c r="A144" s="64" t="s">
        <v>171</v>
      </c>
      <c r="B144" s="64" t="s">
        <v>17</v>
      </c>
      <c r="C144" s="64" t="s">
        <v>50</v>
      </c>
      <c r="D144" s="64" t="s">
        <v>42</v>
      </c>
      <c r="E144" s="64" t="s">
        <v>24</v>
      </c>
      <c r="F144" s="64" t="s">
        <v>20</v>
      </c>
      <c r="G144" s="64">
        <v>45069</v>
      </c>
      <c r="H144" s="64">
        <v>129</v>
      </c>
      <c r="I144" s="64">
        <v>131.38</v>
      </c>
      <c r="J144" s="64">
        <v>298.99</v>
      </c>
    </row>
    <row r="145" spans="1:10">
      <c r="A145" s="64" t="s">
        <v>172</v>
      </c>
      <c r="B145" s="64" t="s">
        <v>17</v>
      </c>
      <c r="C145" s="64" t="s">
        <v>12</v>
      </c>
      <c r="D145" s="64" t="s">
        <v>13</v>
      </c>
      <c r="E145" s="64" t="s">
        <v>14</v>
      </c>
      <c r="F145" s="64" t="s">
        <v>28</v>
      </c>
      <c r="G145" s="64">
        <v>45070</v>
      </c>
      <c r="H145" s="64">
        <v>219</v>
      </c>
      <c r="I145" s="64">
        <v>332.51</v>
      </c>
      <c r="J145" s="64">
        <v>264.3</v>
      </c>
    </row>
    <row r="146" spans="1:10">
      <c r="A146" s="64" t="s">
        <v>173</v>
      </c>
      <c r="B146" s="64" t="s">
        <v>17</v>
      </c>
      <c r="C146" s="64" t="s">
        <v>12</v>
      </c>
      <c r="D146" s="64" t="s">
        <v>13</v>
      </c>
      <c r="E146" s="64" t="s">
        <v>24</v>
      </c>
      <c r="F146" s="64" t="s">
        <v>28</v>
      </c>
      <c r="G146" s="64">
        <v>45071</v>
      </c>
      <c r="H146" s="64">
        <v>315</v>
      </c>
      <c r="I146" s="64">
        <v>489.42</v>
      </c>
      <c r="J146" s="64">
        <v>321.25</v>
      </c>
    </row>
    <row r="147" spans="1:10">
      <c r="A147" s="64" t="s">
        <v>174</v>
      </c>
      <c r="B147" s="64" t="s">
        <v>11</v>
      </c>
      <c r="C147" s="64" t="s">
        <v>12</v>
      </c>
      <c r="D147" s="64" t="s">
        <v>27</v>
      </c>
      <c r="E147" s="64" t="s">
        <v>14</v>
      </c>
      <c r="F147" s="64" t="s">
        <v>28</v>
      </c>
      <c r="G147" s="64">
        <v>45072</v>
      </c>
      <c r="H147" s="64">
        <v>279</v>
      </c>
      <c r="I147" s="64">
        <v>190.28</v>
      </c>
      <c r="J147" s="64">
        <v>43.94</v>
      </c>
    </row>
    <row r="148" spans="1:10">
      <c r="A148" s="64" t="s">
        <v>175</v>
      </c>
      <c r="B148" s="64" t="s">
        <v>11</v>
      </c>
      <c r="C148" s="64" t="s">
        <v>50</v>
      </c>
      <c r="D148" s="64" t="s">
        <v>23</v>
      </c>
      <c r="E148" s="64" t="s">
        <v>24</v>
      </c>
      <c r="F148" s="64" t="s">
        <v>20</v>
      </c>
      <c r="G148" s="64">
        <v>45073</v>
      </c>
      <c r="H148" s="64">
        <v>201</v>
      </c>
      <c r="I148" s="64">
        <v>13.67</v>
      </c>
      <c r="J148" s="64">
        <v>16.16</v>
      </c>
    </row>
    <row r="149" spans="1:10">
      <c r="A149" s="64" t="s">
        <v>176</v>
      </c>
      <c r="B149" s="64" t="s">
        <v>11</v>
      </c>
      <c r="C149" s="64" t="s">
        <v>12</v>
      </c>
      <c r="D149" s="64" t="s">
        <v>23</v>
      </c>
      <c r="E149" s="64" t="s">
        <v>14</v>
      </c>
      <c r="F149" s="64" t="s">
        <v>15</v>
      </c>
      <c r="G149" s="64">
        <v>45074</v>
      </c>
      <c r="H149" s="64">
        <v>184</v>
      </c>
      <c r="I149" s="64">
        <v>125.85</v>
      </c>
      <c r="J149" s="64">
        <v>204.41</v>
      </c>
    </row>
    <row r="150" spans="1:10">
      <c r="A150" s="64" t="s">
        <v>177</v>
      </c>
      <c r="B150" s="64" t="s">
        <v>22</v>
      </c>
      <c r="C150" s="64" t="s">
        <v>50</v>
      </c>
      <c r="D150" s="64" t="s">
        <v>19</v>
      </c>
      <c r="E150" s="64" t="s">
        <v>24</v>
      </c>
      <c r="F150" s="64" t="s">
        <v>20</v>
      </c>
      <c r="G150" s="64">
        <v>45075</v>
      </c>
      <c r="H150" s="64">
        <v>294</v>
      </c>
      <c r="I150" s="64">
        <v>416.28</v>
      </c>
      <c r="J150" s="64">
        <v>156.26</v>
      </c>
    </row>
    <row r="151" spans="1:10">
      <c r="A151" s="64" t="s">
        <v>178</v>
      </c>
      <c r="B151" s="64" t="s">
        <v>17</v>
      </c>
      <c r="C151" s="64" t="s">
        <v>12</v>
      </c>
      <c r="D151" s="64" t="s">
        <v>27</v>
      </c>
      <c r="E151" s="64" t="s">
        <v>14</v>
      </c>
      <c r="F151" s="64" t="s">
        <v>20</v>
      </c>
      <c r="G151" s="64">
        <v>45076</v>
      </c>
      <c r="H151" s="64">
        <v>213</v>
      </c>
      <c r="I151" s="64">
        <v>432.98</v>
      </c>
      <c r="J151" s="64">
        <v>185.85</v>
      </c>
    </row>
    <row r="152" spans="1:10">
      <c r="A152" s="64" t="s">
        <v>179</v>
      </c>
      <c r="B152" s="64" t="s">
        <v>11</v>
      </c>
      <c r="C152" s="64" t="s">
        <v>31</v>
      </c>
      <c r="D152" s="64" t="s">
        <v>27</v>
      </c>
      <c r="E152" s="64" t="s">
        <v>24</v>
      </c>
      <c r="F152" s="64" t="s">
        <v>15</v>
      </c>
      <c r="G152" s="64">
        <v>45077</v>
      </c>
      <c r="H152" s="64">
        <v>173</v>
      </c>
      <c r="I152" s="64">
        <v>385.42</v>
      </c>
      <c r="J152" s="64">
        <v>396.65</v>
      </c>
    </row>
    <row r="153" spans="1:10">
      <c r="A153" s="64" t="s">
        <v>180</v>
      </c>
      <c r="B153" s="64" t="s">
        <v>11</v>
      </c>
      <c r="C153" s="64" t="s">
        <v>12</v>
      </c>
      <c r="D153" s="64" t="s">
        <v>27</v>
      </c>
      <c r="E153" s="64" t="s">
        <v>14</v>
      </c>
      <c r="F153" s="64" t="s">
        <v>15</v>
      </c>
      <c r="G153" s="64">
        <v>45078</v>
      </c>
      <c r="H153" s="64">
        <v>260</v>
      </c>
      <c r="I153" s="64">
        <v>60.99</v>
      </c>
      <c r="J153" s="64">
        <v>388.36</v>
      </c>
    </row>
    <row r="154" spans="1:10">
      <c r="A154" s="64" t="s">
        <v>181</v>
      </c>
      <c r="B154" s="64" t="s">
        <v>22</v>
      </c>
      <c r="C154" s="64" t="s">
        <v>50</v>
      </c>
      <c r="D154" s="64" t="s">
        <v>27</v>
      </c>
      <c r="E154" s="64" t="s">
        <v>24</v>
      </c>
      <c r="F154" s="64" t="s">
        <v>15</v>
      </c>
      <c r="G154" s="64">
        <v>45079</v>
      </c>
      <c r="H154" s="64">
        <v>236</v>
      </c>
      <c r="I154" s="64">
        <v>398.78</v>
      </c>
      <c r="J154" s="64">
        <v>377.04</v>
      </c>
    </row>
    <row r="155" spans="1:10">
      <c r="A155" s="64" t="s">
        <v>182</v>
      </c>
      <c r="B155" s="64" t="s">
        <v>11</v>
      </c>
      <c r="C155" s="64" t="s">
        <v>26</v>
      </c>
      <c r="D155" s="64" t="s">
        <v>23</v>
      </c>
      <c r="E155" s="64" t="s">
        <v>14</v>
      </c>
      <c r="F155" s="64" t="s">
        <v>28</v>
      </c>
      <c r="G155" s="64">
        <v>45080</v>
      </c>
      <c r="H155" s="64">
        <v>445</v>
      </c>
      <c r="I155" s="64">
        <v>459.75</v>
      </c>
      <c r="J155" s="64">
        <v>313.97000000000003</v>
      </c>
    </row>
    <row r="156" spans="1:10">
      <c r="A156" s="64" t="s">
        <v>183</v>
      </c>
      <c r="B156" s="64" t="s">
        <v>22</v>
      </c>
      <c r="C156" s="64" t="s">
        <v>12</v>
      </c>
      <c r="D156" s="64" t="s">
        <v>23</v>
      </c>
      <c r="E156" s="64" t="s">
        <v>24</v>
      </c>
      <c r="F156" s="64" t="s">
        <v>15</v>
      </c>
      <c r="G156" s="64">
        <v>45081</v>
      </c>
      <c r="H156" s="64">
        <v>390</v>
      </c>
      <c r="I156" s="64">
        <v>302.3</v>
      </c>
      <c r="J156" s="64">
        <v>143.22999999999999</v>
      </c>
    </row>
    <row r="157" spans="1:10">
      <c r="A157" s="64" t="s">
        <v>184</v>
      </c>
      <c r="B157" s="64" t="s">
        <v>48</v>
      </c>
      <c r="C157" s="64" t="s">
        <v>26</v>
      </c>
      <c r="D157" s="64" t="s">
        <v>27</v>
      </c>
      <c r="E157" s="64" t="s">
        <v>14</v>
      </c>
      <c r="F157" s="64" t="s">
        <v>20</v>
      </c>
      <c r="G157" s="64">
        <v>45082</v>
      </c>
      <c r="H157" s="64">
        <v>469</v>
      </c>
      <c r="I157" s="64">
        <v>470.73</v>
      </c>
      <c r="J157" s="64">
        <v>166.03</v>
      </c>
    </row>
    <row r="158" spans="1:10">
      <c r="A158" s="64" t="s">
        <v>185</v>
      </c>
      <c r="B158" s="64" t="s">
        <v>11</v>
      </c>
      <c r="C158" s="64" t="s">
        <v>31</v>
      </c>
      <c r="D158" s="64" t="s">
        <v>19</v>
      </c>
      <c r="E158" s="64" t="s">
        <v>14</v>
      </c>
      <c r="F158" s="64" t="s">
        <v>15</v>
      </c>
      <c r="G158" s="64">
        <v>45083</v>
      </c>
      <c r="H158" s="64">
        <v>16</v>
      </c>
      <c r="J158" s="64">
        <v>220.75</v>
      </c>
    </row>
    <row r="159" spans="1:10">
      <c r="A159" s="64" t="s">
        <v>186</v>
      </c>
      <c r="B159" s="64" t="s">
        <v>48</v>
      </c>
      <c r="C159" s="64" t="s">
        <v>18</v>
      </c>
      <c r="D159" s="64" t="s">
        <v>42</v>
      </c>
      <c r="E159" s="64" t="s">
        <v>24</v>
      </c>
      <c r="F159" s="64" t="s">
        <v>20</v>
      </c>
      <c r="G159" s="64">
        <v>45084</v>
      </c>
      <c r="H159" s="64">
        <v>38</v>
      </c>
      <c r="I159" s="64">
        <v>335.15</v>
      </c>
      <c r="J159" s="64">
        <v>332.55</v>
      </c>
    </row>
    <row r="160" spans="1:10">
      <c r="A160" s="64" t="s">
        <v>187</v>
      </c>
      <c r="B160" s="64" t="s">
        <v>22</v>
      </c>
      <c r="C160" s="64" t="s">
        <v>31</v>
      </c>
      <c r="D160" s="64" t="s">
        <v>13</v>
      </c>
      <c r="E160" s="64" t="s">
        <v>24</v>
      </c>
      <c r="F160" s="64" t="s">
        <v>28</v>
      </c>
      <c r="G160" s="64">
        <v>45085</v>
      </c>
      <c r="H160" s="64">
        <v>404</v>
      </c>
      <c r="I160" s="64">
        <v>290.70999999999998</v>
      </c>
      <c r="J160" s="64">
        <v>29.35</v>
      </c>
    </row>
    <row r="161" spans="1:10">
      <c r="A161" s="64" t="s">
        <v>188</v>
      </c>
      <c r="B161" s="64" t="s">
        <v>17</v>
      </c>
      <c r="C161" s="64" t="s">
        <v>12</v>
      </c>
      <c r="D161" s="64" t="s">
        <v>19</v>
      </c>
      <c r="E161" s="64" t="s">
        <v>14</v>
      </c>
      <c r="F161" s="64" t="s">
        <v>20</v>
      </c>
      <c r="G161" s="64">
        <v>45086</v>
      </c>
      <c r="H161" s="64">
        <v>42</v>
      </c>
      <c r="I161" s="64">
        <v>177.54</v>
      </c>
      <c r="J161" s="64">
        <v>170.87</v>
      </c>
    </row>
    <row r="162" spans="1:10">
      <c r="A162" s="64" t="s">
        <v>189</v>
      </c>
      <c r="B162" s="64" t="s">
        <v>11</v>
      </c>
      <c r="C162" s="64" t="s">
        <v>26</v>
      </c>
      <c r="D162" s="64" t="s">
        <v>27</v>
      </c>
      <c r="E162" s="64" t="s">
        <v>24</v>
      </c>
      <c r="F162" s="64" t="s">
        <v>20</v>
      </c>
      <c r="G162" s="64">
        <v>45087</v>
      </c>
      <c r="H162" s="64">
        <v>143</v>
      </c>
      <c r="I162" s="64">
        <v>83.85</v>
      </c>
      <c r="J162" s="64">
        <v>34.880000000000003</v>
      </c>
    </row>
    <row r="163" spans="1:10">
      <c r="A163" s="64" t="s">
        <v>190</v>
      </c>
      <c r="B163" s="64" t="s">
        <v>22</v>
      </c>
      <c r="C163" s="64" t="s">
        <v>26</v>
      </c>
      <c r="D163" s="64" t="s">
        <v>23</v>
      </c>
      <c r="E163" s="64" t="s">
        <v>14</v>
      </c>
      <c r="F163" s="64" t="s">
        <v>15</v>
      </c>
      <c r="G163" s="64">
        <v>45088</v>
      </c>
      <c r="H163" s="64">
        <v>376</v>
      </c>
      <c r="I163" s="64">
        <v>304.45</v>
      </c>
      <c r="J163" s="64">
        <v>206.83</v>
      </c>
    </row>
    <row r="164" spans="1:10">
      <c r="A164" s="64" t="s">
        <v>191</v>
      </c>
      <c r="B164" s="64" t="s">
        <v>17</v>
      </c>
      <c r="C164" s="64" t="s">
        <v>50</v>
      </c>
      <c r="D164" s="64" t="s">
        <v>42</v>
      </c>
      <c r="E164" s="64" t="s">
        <v>14</v>
      </c>
      <c r="F164" s="64" t="s">
        <v>15</v>
      </c>
      <c r="G164" s="64">
        <v>45089</v>
      </c>
      <c r="H164" s="64">
        <v>88</v>
      </c>
      <c r="I164" s="64">
        <v>162.47</v>
      </c>
      <c r="J164" s="64">
        <v>359.76</v>
      </c>
    </row>
    <row r="165" spans="1:10">
      <c r="A165" s="64" t="s">
        <v>192</v>
      </c>
      <c r="B165" s="64" t="s">
        <v>17</v>
      </c>
      <c r="C165" s="64" t="s">
        <v>26</v>
      </c>
      <c r="D165" s="64" t="s">
        <v>13</v>
      </c>
      <c r="E165" s="64" t="s">
        <v>14</v>
      </c>
      <c r="F165" s="64" t="s">
        <v>20</v>
      </c>
      <c r="G165" s="64">
        <v>45090</v>
      </c>
      <c r="H165" s="64">
        <v>425</v>
      </c>
      <c r="I165" s="64">
        <v>433.89</v>
      </c>
      <c r="J165" s="64">
        <v>313.43</v>
      </c>
    </row>
    <row r="166" spans="1:10">
      <c r="A166" s="64" t="s">
        <v>193</v>
      </c>
      <c r="B166" s="64" t="s">
        <v>48</v>
      </c>
      <c r="C166" s="64" t="s">
        <v>50</v>
      </c>
      <c r="D166" s="64" t="s">
        <v>13</v>
      </c>
      <c r="E166" s="64" t="s">
        <v>24</v>
      </c>
      <c r="F166" s="64" t="s">
        <v>15</v>
      </c>
      <c r="G166" s="64">
        <v>45091</v>
      </c>
      <c r="H166" s="64">
        <v>444</v>
      </c>
      <c r="I166" s="64">
        <v>496.7</v>
      </c>
      <c r="J166" s="64">
        <v>92.68</v>
      </c>
    </row>
    <row r="167" spans="1:10">
      <c r="A167" s="64" t="s">
        <v>194</v>
      </c>
      <c r="B167" s="64" t="s">
        <v>22</v>
      </c>
      <c r="C167" s="64" t="s">
        <v>18</v>
      </c>
      <c r="D167" s="64" t="s">
        <v>19</v>
      </c>
      <c r="E167" s="64" t="s">
        <v>14</v>
      </c>
      <c r="F167" s="64" t="s">
        <v>28</v>
      </c>
      <c r="G167" s="64">
        <v>45092</v>
      </c>
      <c r="H167" s="64">
        <v>468</v>
      </c>
      <c r="I167" s="64">
        <v>377.45</v>
      </c>
      <c r="J167" s="64">
        <v>390.44</v>
      </c>
    </row>
    <row r="168" spans="1:10">
      <c r="A168" s="64" t="s">
        <v>195</v>
      </c>
      <c r="B168" s="64" t="s">
        <v>17</v>
      </c>
      <c r="C168" s="64" t="s">
        <v>12</v>
      </c>
      <c r="D168" s="64" t="s">
        <v>27</v>
      </c>
      <c r="E168" s="64" t="s">
        <v>14</v>
      </c>
      <c r="F168" s="64" t="s">
        <v>28</v>
      </c>
      <c r="G168" s="64">
        <v>45093</v>
      </c>
      <c r="H168" s="64">
        <v>67</v>
      </c>
      <c r="I168" s="64">
        <v>49.79</v>
      </c>
      <c r="J168" s="64">
        <v>267.61</v>
      </c>
    </row>
    <row r="169" spans="1:10">
      <c r="A169" s="64" t="s">
        <v>196</v>
      </c>
      <c r="B169" s="64" t="s">
        <v>11</v>
      </c>
      <c r="C169" s="64" t="s">
        <v>50</v>
      </c>
      <c r="D169" s="64" t="s">
        <v>42</v>
      </c>
      <c r="E169" s="64" t="s">
        <v>24</v>
      </c>
      <c r="F169" s="64" t="s">
        <v>15</v>
      </c>
      <c r="G169" s="64">
        <v>45094</v>
      </c>
      <c r="H169" s="64">
        <v>480</v>
      </c>
      <c r="I169" s="64">
        <v>147.9</v>
      </c>
      <c r="J169" s="64">
        <v>6.15</v>
      </c>
    </row>
    <row r="170" spans="1:10">
      <c r="A170" s="64" t="s">
        <v>197</v>
      </c>
      <c r="B170" s="64" t="s">
        <v>11</v>
      </c>
      <c r="C170" s="64" t="s">
        <v>18</v>
      </c>
      <c r="D170" s="64" t="s">
        <v>27</v>
      </c>
      <c r="E170" s="64" t="s">
        <v>24</v>
      </c>
      <c r="F170" s="64" t="s">
        <v>28</v>
      </c>
      <c r="G170" s="64">
        <v>45095</v>
      </c>
      <c r="H170" s="64">
        <v>35</v>
      </c>
      <c r="I170" s="64">
        <v>59.01</v>
      </c>
      <c r="J170" s="64">
        <v>103.65</v>
      </c>
    </row>
    <row r="171" spans="1:10">
      <c r="A171" s="64" t="s">
        <v>198</v>
      </c>
      <c r="B171" s="64" t="s">
        <v>48</v>
      </c>
      <c r="C171" s="64" t="s">
        <v>26</v>
      </c>
      <c r="D171" s="64" t="s">
        <v>42</v>
      </c>
      <c r="E171" s="64" t="s">
        <v>24</v>
      </c>
      <c r="F171" s="64" t="s">
        <v>15</v>
      </c>
      <c r="G171" s="64">
        <v>45096</v>
      </c>
      <c r="H171" s="64">
        <v>491</v>
      </c>
      <c r="I171" s="64">
        <v>327</v>
      </c>
      <c r="J171" s="64">
        <v>105.76</v>
      </c>
    </row>
    <row r="172" spans="1:10">
      <c r="A172" s="64" t="s">
        <v>199</v>
      </c>
      <c r="B172" s="64" t="s">
        <v>17</v>
      </c>
      <c r="C172" s="64" t="s">
        <v>26</v>
      </c>
      <c r="D172" s="64" t="s">
        <v>19</v>
      </c>
      <c r="E172" s="64" t="s">
        <v>24</v>
      </c>
      <c r="F172" s="64" t="s">
        <v>20</v>
      </c>
      <c r="G172" s="64">
        <v>45097</v>
      </c>
      <c r="H172" s="64">
        <v>439</v>
      </c>
      <c r="I172" s="64">
        <v>383.77</v>
      </c>
      <c r="J172" s="64">
        <v>29.56</v>
      </c>
    </row>
    <row r="173" spans="1:10">
      <c r="A173" s="64" t="s">
        <v>200</v>
      </c>
      <c r="B173" s="64" t="s">
        <v>22</v>
      </c>
      <c r="C173" s="64" t="s">
        <v>18</v>
      </c>
      <c r="D173" s="64" t="s">
        <v>19</v>
      </c>
      <c r="E173" s="64" t="s">
        <v>14</v>
      </c>
      <c r="F173" s="64" t="s">
        <v>20</v>
      </c>
      <c r="G173" s="64">
        <v>45098</v>
      </c>
      <c r="H173" s="64">
        <v>235</v>
      </c>
      <c r="I173" s="64">
        <v>463.21</v>
      </c>
      <c r="J173" s="64">
        <v>384.01</v>
      </c>
    </row>
    <row r="174" spans="1:10">
      <c r="A174" s="64" t="s">
        <v>201</v>
      </c>
      <c r="B174" s="64" t="s">
        <v>11</v>
      </c>
      <c r="C174" s="64" t="s">
        <v>26</v>
      </c>
      <c r="D174" s="64" t="s">
        <v>13</v>
      </c>
      <c r="E174" s="64" t="s">
        <v>14</v>
      </c>
      <c r="F174" s="64" t="s">
        <v>28</v>
      </c>
      <c r="G174" s="64">
        <v>45099</v>
      </c>
      <c r="H174" s="64">
        <v>294</v>
      </c>
      <c r="I174" s="64">
        <v>221.9</v>
      </c>
      <c r="J174" s="64">
        <v>192.35</v>
      </c>
    </row>
    <row r="175" spans="1:10">
      <c r="A175" s="64" t="s">
        <v>202</v>
      </c>
      <c r="B175" s="64" t="s">
        <v>17</v>
      </c>
      <c r="C175" s="64" t="s">
        <v>18</v>
      </c>
      <c r="D175" s="64" t="s">
        <v>27</v>
      </c>
      <c r="E175" s="64" t="s">
        <v>14</v>
      </c>
      <c r="F175" s="64" t="s">
        <v>15</v>
      </c>
      <c r="G175" s="64">
        <v>45100</v>
      </c>
      <c r="H175" s="64">
        <v>13</v>
      </c>
      <c r="I175" s="64">
        <v>451.18</v>
      </c>
      <c r="J175" s="64">
        <v>358.53</v>
      </c>
    </row>
    <row r="176" spans="1:10">
      <c r="A176" s="64" t="s">
        <v>203</v>
      </c>
      <c r="B176" s="64" t="s">
        <v>17</v>
      </c>
      <c r="C176" s="64" t="s">
        <v>50</v>
      </c>
      <c r="D176" s="64" t="s">
        <v>13</v>
      </c>
      <c r="E176" s="64" t="s">
        <v>14</v>
      </c>
      <c r="F176" s="64" t="s">
        <v>15</v>
      </c>
      <c r="G176" s="64">
        <v>45101</v>
      </c>
      <c r="H176" s="64">
        <v>474</v>
      </c>
      <c r="I176" s="64">
        <v>439.56</v>
      </c>
      <c r="J176" s="64">
        <v>130.24</v>
      </c>
    </row>
    <row r="177" spans="1:10">
      <c r="A177" s="64" t="s">
        <v>204</v>
      </c>
      <c r="B177" s="64" t="s">
        <v>48</v>
      </c>
      <c r="C177" s="64" t="s">
        <v>50</v>
      </c>
      <c r="D177" s="64" t="s">
        <v>27</v>
      </c>
      <c r="E177" s="64" t="s">
        <v>24</v>
      </c>
      <c r="F177" s="64" t="s">
        <v>28</v>
      </c>
      <c r="G177" s="64">
        <v>45102</v>
      </c>
      <c r="H177" s="64">
        <v>108</v>
      </c>
      <c r="I177" s="64">
        <v>162.01</v>
      </c>
      <c r="J177" s="64">
        <v>51.84</v>
      </c>
    </row>
    <row r="178" spans="1:10">
      <c r="A178" s="64" t="s">
        <v>205</v>
      </c>
      <c r="B178" s="64" t="s">
        <v>11</v>
      </c>
      <c r="C178" s="64" t="s">
        <v>18</v>
      </c>
      <c r="D178" s="64" t="s">
        <v>13</v>
      </c>
      <c r="E178" s="64" t="s">
        <v>14</v>
      </c>
      <c r="F178" s="64" t="s">
        <v>20</v>
      </c>
      <c r="G178" s="64">
        <v>45103</v>
      </c>
      <c r="H178" s="64">
        <v>406</v>
      </c>
      <c r="I178" s="64">
        <v>435.11</v>
      </c>
      <c r="J178" s="64">
        <v>190.79</v>
      </c>
    </row>
    <row r="179" spans="1:10">
      <c r="A179" s="64" t="s">
        <v>206</v>
      </c>
      <c r="B179" s="64" t="s">
        <v>11</v>
      </c>
      <c r="C179" s="64" t="s">
        <v>50</v>
      </c>
      <c r="D179" s="64" t="s">
        <v>23</v>
      </c>
      <c r="E179" s="64" t="s">
        <v>14</v>
      </c>
      <c r="F179" s="64" t="s">
        <v>28</v>
      </c>
      <c r="G179" s="64">
        <v>45104</v>
      </c>
      <c r="H179" s="64">
        <v>498</v>
      </c>
      <c r="I179" s="64">
        <v>190.96</v>
      </c>
      <c r="J179" s="64">
        <v>47.35</v>
      </c>
    </row>
    <row r="180" spans="1:10">
      <c r="A180" s="64" t="s">
        <v>207</v>
      </c>
      <c r="B180" s="64" t="s">
        <v>22</v>
      </c>
      <c r="C180" s="64" t="s">
        <v>50</v>
      </c>
      <c r="D180" s="64" t="s">
        <v>23</v>
      </c>
      <c r="E180" s="64" t="s">
        <v>24</v>
      </c>
      <c r="F180" s="64" t="s">
        <v>20</v>
      </c>
      <c r="G180" s="64">
        <v>45105</v>
      </c>
      <c r="H180" s="64">
        <v>48</v>
      </c>
      <c r="I180" s="64">
        <v>151.94999999999999</v>
      </c>
      <c r="J180" s="64">
        <v>195.43</v>
      </c>
    </row>
    <row r="181" spans="1:10">
      <c r="A181" s="64" t="s">
        <v>208</v>
      </c>
      <c r="B181" s="64" t="s">
        <v>11</v>
      </c>
      <c r="C181" s="64" t="s">
        <v>50</v>
      </c>
      <c r="D181" s="64" t="s">
        <v>23</v>
      </c>
      <c r="E181" s="64" t="s">
        <v>14</v>
      </c>
      <c r="F181" s="64" t="s">
        <v>15</v>
      </c>
      <c r="G181" s="64">
        <v>45106</v>
      </c>
      <c r="H181" s="64">
        <v>280</v>
      </c>
      <c r="I181" s="64">
        <v>326.29000000000002</v>
      </c>
      <c r="J181" s="64">
        <v>368.28</v>
      </c>
    </row>
    <row r="182" spans="1:10">
      <c r="A182" s="64" t="s">
        <v>209</v>
      </c>
      <c r="B182" s="64" t="s">
        <v>22</v>
      </c>
      <c r="C182" s="64" t="s">
        <v>31</v>
      </c>
      <c r="D182" s="64" t="s">
        <v>23</v>
      </c>
      <c r="E182" s="64" t="s">
        <v>14</v>
      </c>
      <c r="F182" s="64" t="s">
        <v>20</v>
      </c>
      <c r="G182" s="64">
        <v>45107</v>
      </c>
      <c r="H182" s="64">
        <v>384</v>
      </c>
      <c r="I182" s="64">
        <v>167.55</v>
      </c>
      <c r="J182" s="64">
        <v>209.27</v>
      </c>
    </row>
    <row r="183" spans="1:10">
      <c r="A183" s="64" t="s">
        <v>210</v>
      </c>
      <c r="B183" s="64" t="s">
        <v>11</v>
      </c>
      <c r="C183" s="64" t="s">
        <v>12</v>
      </c>
      <c r="D183" s="64" t="s">
        <v>42</v>
      </c>
      <c r="E183" s="64" t="s">
        <v>14</v>
      </c>
      <c r="F183" s="64" t="s">
        <v>28</v>
      </c>
      <c r="G183" s="64">
        <v>45108</v>
      </c>
      <c r="H183" s="64">
        <v>294</v>
      </c>
      <c r="I183" s="64">
        <v>316.95</v>
      </c>
      <c r="J183" s="64">
        <v>247.37</v>
      </c>
    </row>
    <row r="184" spans="1:10">
      <c r="A184" s="64" t="s">
        <v>211</v>
      </c>
      <c r="B184" s="64" t="s">
        <v>48</v>
      </c>
      <c r="C184" s="64" t="s">
        <v>26</v>
      </c>
      <c r="D184" s="64" t="s">
        <v>23</v>
      </c>
      <c r="E184" s="64" t="s">
        <v>14</v>
      </c>
      <c r="F184" s="64" t="s">
        <v>15</v>
      </c>
      <c r="G184" s="64">
        <v>45109</v>
      </c>
      <c r="H184" s="64">
        <v>166</v>
      </c>
      <c r="I184" s="64">
        <v>306.87</v>
      </c>
      <c r="J184" s="64">
        <v>64.34</v>
      </c>
    </row>
    <row r="185" spans="1:10">
      <c r="A185" s="64" t="s">
        <v>212</v>
      </c>
      <c r="B185" s="64" t="s">
        <v>11</v>
      </c>
      <c r="C185" s="64" t="s">
        <v>31</v>
      </c>
      <c r="D185" s="64" t="s">
        <v>19</v>
      </c>
      <c r="E185" s="64" t="s">
        <v>14</v>
      </c>
      <c r="F185" s="64" t="s">
        <v>28</v>
      </c>
      <c r="G185" s="64">
        <v>45110</v>
      </c>
      <c r="H185" s="64">
        <v>84</v>
      </c>
      <c r="I185" s="64">
        <v>283.89999999999998</v>
      </c>
      <c r="J185" s="64">
        <v>19.41</v>
      </c>
    </row>
    <row r="186" spans="1:10">
      <c r="A186" s="64" t="s">
        <v>213</v>
      </c>
      <c r="B186" s="64" t="s">
        <v>22</v>
      </c>
      <c r="C186" s="64" t="s">
        <v>50</v>
      </c>
      <c r="D186" s="64" t="s">
        <v>19</v>
      </c>
      <c r="E186" s="64" t="s">
        <v>14</v>
      </c>
      <c r="F186" s="64" t="s">
        <v>28</v>
      </c>
      <c r="G186" s="64">
        <v>45111</v>
      </c>
      <c r="H186" s="64">
        <v>381</v>
      </c>
      <c r="I186" s="64">
        <v>193.31</v>
      </c>
      <c r="J186" s="64">
        <v>46.1</v>
      </c>
    </row>
    <row r="187" spans="1:10">
      <c r="A187" s="64" t="s">
        <v>214</v>
      </c>
      <c r="B187" s="64" t="s">
        <v>22</v>
      </c>
      <c r="C187" s="64" t="s">
        <v>18</v>
      </c>
      <c r="D187" s="64" t="s">
        <v>42</v>
      </c>
      <c r="E187" s="64" t="s">
        <v>24</v>
      </c>
      <c r="F187" s="64" t="s">
        <v>20</v>
      </c>
      <c r="G187" s="64">
        <v>45112</v>
      </c>
      <c r="H187" s="64">
        <v>297</v>
      </c>
      <c r="I187" s="64">
        <v>276.51</v>
      </c>
      <c r="J187" s="64">
        <v>240.22</v>
      </c>
    </row>
    <row r="188" spans="1:10">
      <c r="A188" s="64" t="s">
        <v>215</v>
      </c>
      <c r="B188" s="64" t="s">
        <v>48</v>
      </c>
      <c r="C188" s="64" t="s">
        <v>50</v>
      </c>
      <c r="D188" s="64" t="s">
        <v>23</v>
      </c>
      <c r="E188" s="64" t="s">
        <v>24</v>
      </c>
      <c r="F188" s="64" t="s">
        <v>28</v>
      </c>
      <c r="G188" s="64">
        <v>45113</v>
      </c>
      <c r="H188" s="64">
        <v>139</v>
      </c>
      <c r="I188" s="64">
        <v>300.26</v>
      </c>
      <c r="J188" s="64">
        <v>39.81</v>
      </c>
    </row>
    <row r="189" spans="1:10">
      <c r="A189" s="64" t="s">
        <v>216</v>
      </c>
      <c r="B189" s="64" t="s">
        <v>11</v>
      </c>
      <c r="C189" s="64" t="s">
        <v>12</v>
      </c>
      <c r="D189" s="64" t="s">
        <v>23</v>
      </c>
      <c r="E189" s="64" t="s">
        <v>14</v>
      </c>
      <c r="F189" s="64" t="s">
        <v>20</v>
      </c>
      <c r="G189" s="64">
        <v>45114</v>
      </c>
      <c r="H189" s="64">
        <v>184</v>
      </c>
      <c r="I189" s="64">
        <v>275.12</v>
      </c>
      <c r="J189" s="64">
        <v>151.65</v>
      </c>
    </row>
    <row r="190" spans="1:10">
      <c r="A190" s="64" t="s">
        <v>217</v>
      </c>
      <c r="B190" s="64" t="s">
        <v>11</v>
      </c>
      <c r="C190" s="64" t="s">
        <v>50</v>
      </c>
      <c r="D190" s="64" t="s">
        <v>23</v>
      </c>
      <c r="E190" s="64" t="s">
        <v>14</v>
      </c>
      <c r="F190" s="64" t="s">
        <v>15</v>
      </c>
      <c r="G190" s="64">
        <v>45115</v>
      </c>
      <c r="H190" s="64">
        <v>471</v>
      </c>
      <c r="I190" s="64">
        <v>224.99</v>
      </c>
      <c r="J190" s="64">
        <v>220.94</v>
      </c>
    </row>
    <row r="191" spans="1:10">
      <c r="A191" s="64" t="s">
        <v>218</v>
      </c>
      <c r="B191" s="64" t="s">
        <v>48</v>
      </c>
      <c r="C191" s="64" t="s">
        <v>18</v>
      </c>
      <c r="D191" s="64" t="s">
        <v>13</v>
      </c>
      <c r="E191" s="64" t="s">
        <v>24</v>
      </c>
      <c r="F191" s="64" t="s">
        <v>20</v>
      </c>
      <c r="G191" s="64">
        <v>45116</v>
      </c>
      <c r="H191" s="64">
        <v>93</v>
      </c>
      <c r="I191" s="64">
        <v>12.26</v>
      </c>
      <c r="J191" s="64">
        <v>156.68</v>
      </c>
    </row>
    <row r="192" spans="1:10">
      <c r="A192" s="64" t="s">
        <v>219</v>
      </c>
      <c r="B192" s="64" t="s">
        <v>11</v>
      </c>
      <c r="C192" s="64" t="s">
        <v>12</v>
      </c>
      <c r="D192" s="64" t="s">
        <v>27</v>
      </c>
      <c r="E192" s="64" t="s">
        <v>14</v>
      </c>
      <c r="F192" s="64" t="s">
        <v>15</v>
      </c>
      <c r="G192" s="64">
        <v>45117</v>
      </c>
      <c r="H192" s="64">
        <v>31</v>
      </c>
      <c r="I192" s="64">
        <v>295.60000000000002</v>
      </c>
      <c r="J192" s="64">
        <v>67.150000000000006</v>
      </c>
    </row>
    <row r="193" spans="1:10">
      <c r="A193" s="64" t="s">
        <v>220</v>
      </c>
      <c r="B193" s="64" t="s">
        <v>11</v>
      </c>
      <c r="C193" s="64" t="s">
        <v>50</v>
      </c>
      <c r="D193" s="64" t="s">
        <v>13</v>
      </c>
      <c r="E193" s="64" t="s">
        <v>14</v>
      </c>
      <c r="F193" s="64" t="s">
        <v>20</v>
      </c>
      <c r="G193" s="64">
        <v>45118</v>
      </c>
      <c r="H193" s="64">
        <v>468</v>
      </c>
      <c r="I193" s="64">
        <v>88.38</v>
      </c>
      <c r="J193" s="64">
        <v>110.97</v>
      </c>
    </row>
    <row r="194" spans="1:10">
      <c r="A194" s="64" t="s">
        <v>221</v>
      </c>
      <c r="B194" s="64" t="s">
        <v>22</v>
      </c>
      <c r="C194" s="64" t="s">
        <v>12</v>
      </c>
      <c r="D194" s="64" t="s">
        <v>27</v>
      </c>
      <c r="E194" s="64" t="s">
        <v>14</v>
      </c>
      <c r="F194" s="64" t="s">
        <v>28</v>
      </c>
      <c r="G194" s="64">
        <v>45119</v>
      </c>
      <c r="H194" s="64">
        <v>36</v>
      </c>
      <c r="I194" s="64">
        <v>323.08</v>
      </c>
      <c r="J194" s="64">
        <v>371.47</v>
      </c>
    </row>
    <row r="195" spans="1:10">
      <c r="A195" s="64" t="s">
        <v>222</v>
      </c>
      <c r="B195" s="64" t="s">
        <v>11</v>
      </c>
      <c r="C195" s="64" t="s">
        <v>26</v>
      </c>
      <c r="D195" s="64" t="s">
        <v>23</v>
      </c>
      <c r="E195" s="64" t="s">
        <v>24</v>
      </c>
      <c r="F195" s="64" t="s">
        <v>20</v>
      </c>
      <c r="G195" s="64">
        <v>45120</v>
      </c>
      <c r="H195" s="64">
        <v>204</v>
      </c>
      <c r="I195" s="64">
        <v>380.88</v>
      </c>
      <c r="J195" s="64">
        <v>271.04000000000002</v>
      </c>
    </row>
    <row r="196" spans="1:10">
      <c r="A196" s="64" t="s">
        <v>223</v>
      </c>
      <c r="B196" s="64" t="s">
        <v>11</v>
      </c>
      <c r="C196" s="64" t="s">
        <v>26</v>
      </c>
      <c r="D196" s="64" t="s">
        <v>23</v>
      </c>
      <c r="E196" s="64" t="s">
        <v>14</v>
      </c>
      <c r="F196" s="64" t="s">
        <v>20</v>
      </c>
      <c r="G196" s="64">
        <v>45121</v>
      </c>
      <c r="H196" s="64">
        <v>346</v>
      </c>
      <c r="I196" s="64">
        <v>252.72</v>
      </c>
      <c r="J196" s="64">
        <v>199.43</v>
      </c>
    </row>
    <row r="197" spans="1:10">
      <c r="A197" s="64" t="s">
        <v>224</v>
      </c>
      <c r="B197" s="64" t="s">
        <v>48</v>
      </c>
      <c r="C197" s="64" t="s">
        <v>50</v>
      </c>
      <c r="D197" s="64" t="s">
        <v>13</v>
      </c>
      <c r="E197" s="64" t="s">
        <v>24</v>
      </c>
      <c r="F197" s="64" t="s">
        <v>15</v>
      </c>
      <c r="G197" s="64">
        <v>45122</v>
      </c>
      <c r="H197" s="64">
        <v>391</v>
      </c>
      <c r="I197" s="64">
        <v>273.47000000000003</v>
      </c>
      <c r="J197" s="64">
        <v>7.06</v>
      </c>
    </row>
    <row r="198" spans="1:10">
      <c r="A198" s="64" t="s">
        <v>225</v>
      </c>
      <c r="B198" s="64" t="s">
        <v>48</v>
      </c>
      <c r="C198" s="64" t="s">
        <v>12</v>
      </c>
      <c r="D198" s="64" t="s">
        <v>13</v>
      </c>
      <c r="E198" s="64" t="s">
        <v>14</v>
      </c>
      <c r="F198" s="64" t="s">
        <v>28</v>
      </c>
      <c r="G198" s="64">
        <v>45123</v>
      </c>
      <c r="H198" s="64">
        <v>245</v>
      </c>
      <c r="I198" s="64">
        <v>475.98</v>
      </c>
      <c r="J198" s="64">
        <v>396.98</v>
      </c>
    </row>
    <row r="199" spans="1:10">
      <c r="A199" s="64" t="s">
        <v>226</v>
      </c>
      <c r="B199" s="64" t="s">
        <v>17</v>
      </c>
      <c r="C199" s="64" t="s">
        <v>18</v>
      </c>
      <c r="D199" s="64" t="s">
        <v>27</v>
      </c>
      <c r="E199" s="64" t="s">
        <v>24</v>
      </c>
      <c r="F199" s="64" t="s">
        <v>20</v>
      </c>
      <c r="G199" s="64">
        <v>45124</v>
      </c>
      <c r="H199" s="64">
        <v>449</v>
      </c>
      <c r="I199" s="64">
        <v>424.35</v>
      </c>
      <c r="J199" s="64">
        <v>269.24</v>
      </c>
    </row>
    <row r="200" spans="1:10">
      <c r="A200" s="64" t="s">
        <v>227</v>
      </c>
      <c r="B200" s="64" t="s">
        <v>22</v>
      </c>
      <c r="C200" s="64" t="s">
        <v>50</v>
      </c>
      <c r="D200" s="64" t="s">
        <v>19</v>
      </c>
      <c r="E200" s="64" t="s">
        <v>24</v>
      </c>
      <c r="F200" s="64" t="s">
        <v>28</v>
      </c>
      <c r="G200" s="64">
        <v>45125</v>
      </c>
      <c r="H200" s="64">
        <v>101</v>
      </c>
      <c r="I200" s="64">
        <v>457.55</v>
      </c>
      <c r="J200" s="64">
        <v>128.13999999999999</v>
      </c>
    </row>
    <row r="201" spans="1:10">
      <c r="A201" s="64" t="s">
        <v>228</v>
      </c>
      <c r="B201" s="64" t="s">
        <v>11</v>
      </c>
      <c r="C201" s="64" t="s">
        <v>26</v>
      </c>
      <c r="D201" s="64" t="s">
        <v>27</v>
      </c>
      <c r="E201" s="64" t="s">
        <v>14</v>
      </c>
      <c r="F201" s="64" t="s">
        <v>20</v>
      </c>
      <c r="G201" s="64">
        <v>45126</v>
      </c>
      <c r="I201" s="64">
        <v>407.81</v>
      </c>
      <c r="J201" s="64">
        <v>351.95</v>
      </c>
    </row>
    <row r="202" spans="1:10">
      <c r="A202" s="64" t="s">
        <v>229</v>
      </c>
      <c r="B202" s="64" t="s">
        <v>11</v>
      </c>
      <c r="C202" s="64" t="s">
        <v>26</v>
      </c>
      <c r="D202" s="64" t="s">
        <v>13</v>
      </c>
      <c r="E202" s="64" t="s">
        <v>24</v>
      </c>
      <c r="F202" s="64" t="s">
        <v>20</v>
      </c>
      <c r="G202" s="64">
        <v>45127</v>
      </c>
      <c r="H202" s="64">
        <v>30</v>
      </c>
      <c r="I202" s="64">
        <v>58.91</v>
      </c>
      <c r="J202" s="64">
        <v>104.86</v>
      </c>
    </row>
    <row r="203" spans="1:10">
      <c r="A203" s="64" t="s">
        <v>230</v>
      </c>
      <c r="B203" s="64" t="s">
        <v>17</v>
      </c>
      <c r="C203" s="64" t="s">
        <v>50</v>
      </c>
      <c r="D203" s="64" t="s">
        <v>13</v>
      </c>
      <c r="E203" s="64" t="s">
        <v>14</v>
      </c>
      <c r="F203" s="64" t="s">
        <v>28</v>
      </c>
      <c r="G203" s="64">
        <v>45128</v>
      </c>
      <c r="H203" s="64">
        <v>312</v>
      </c>
      <c r="I203" s="64">
        <v>78.75</v>
      </c>
      <c r="J203" s="64">
        <v>218.52</v>
      </c>
    </row>
    <row r="204" spans="1:10">
      <c r="A204" s="64" t="s">
        <v>231</v>
      </c>
      <c r="B204" s="64" t="s">
        <v>11</v>
      </c>
      <c r="C204" s="64" t="s">
        <v>12</v>
      </c>
      <c r="D204" s="64" t="s">
        <v>42</v>
      </c>
      <c r="E204" s="64" t="s">
        <v>24</v>
      </c>
      <c r="F204" s="64" t="s">
        <v>20</v>
      </c>
      <c r="G204" s="64">
        <v>45129</v>
      </c>
      <c r="H204" s="64">
        <v>473</v>
      </c>
      <c r="I204" s="64">
        <v>265.68</v>
      </c>
      <c r="J204" s="64">
        <v>255.16</v>
      </c>
    </row>
    <row r="205" spans="1:10">
      <c r="A205" s="64" t="s">
        <v>232</v>
      </c>
      <c r="B205" s="64" t="s">
        <v>22</v>
      </c>
      <c r="C205" s="64" t="s">
        <v>26</v>
      </c>
      <c r="D205" s="64" t="s">
        <v>13</v>
      </c>
      <c r="E205" s="64" t="s">
        <v>14</v>
      </c>
      <c r="F205" s="64" t="s">
        <v>28</v>
      </c>
      <c r="G205" s="64">
        <v>45130</v>
      </c>
      <c r="H205" s="64">
        <v>366</v>
      </c>
      <c r="I205" s="64">
        <v>126.8</v>
      </c>
      <c r="J205" s="64">
        <v>89.98</v>
      </c>
    </row>
    <row r="206" spans="1:10">
      <c r="A206" s="64" t="s">
        <v>233</v>
      </c>
      <c r="B206" s="64" t="s">
        <v>17</v>
      </c>
      <c r="C206" s="64" t="s">
        <v>12</v>
      </c>
      <c r="D206" s="64" t="s">
        <v>42</v>
      </c>
      <c r="E206" s="64" t="s">
        <v>14</v>
      </c>
      <c r="F206" s="64" t="s">
        <v>20</v>
      </c>
      <c r="G206" s="64">
        <v>45131</v>
      </c>
      <c r="H206" s="64">
        <v>452</v>
      </c>
      <c r="I206" s="64">
        <v>240.96</v>
      </c>
      <c r="J206" s="64">
        <v>391.4</v>
      </c>
    </row>
    <row r="207" spans="1:10">
      <c r="A207" s="64" t="s">
        <v>234</v>
      </c>
      <c r="B207" s="64" t="s">
        <v>22</v>
      </c>
      <c r="C207" s="64" t="s">
        <v>26</v>
      </c>
      <c r="D207" s="64" t="s">
        <v>19</v>
      </c>
      <c r="E207" s="64" t="s">
        <v>24</v>
      </c>
      <c r="F207" s="64" t="s">
        <v>15</v>
      </c>
      <c r="G207" s="64">
        <v>45132</v>
      </c>
      <c r="H207" s="64">
        <v>93</v>
      </c>
      <c r="I207" s="64">
        <v>200.21</v>
      </c>
      <c r="J207" s="64">
        <v>299.77999999999997</v>
      </c>
    </row>
    <row r="208" spans="1:10">
      <c r="A208" s="64" t="s">
        <v>235</v>
      </c>
      <c r="B208" s="64" t="s">
        <v>17</v>
      </c>
      <c r="C208" s="64" t="s">
        <v>26</v>
      </c>
      <c r="D208" s="64" t="s">
        <v>27</v>
      </c>
      <c r="E208" s="64" t="s">
        <v>14</v>
      </c>
      <c r="F208" s="64" t="s">
        <v>28</v>
      </c>
      <c r="G208" s="64">
        <v>45133</v>
      </c>
      <c r="H208" s="64">
        <v>271</v>
      </c>
      <c r="I208" s="64">
        <v>276.95999999999998</v>
      </c>
      <c r="J208" s="64">
        <v>224.01</v>
      </c>
    </row>
    <row r="209" spans="1:10">
      <c r="A209" s="64" t="s">
        <v>236</v>
      </c>
      <c r="B209" s="64" t="s">
        <v>17</v>
      </c>
      <c r="C209" s="64" t="s">
        <v>31</v>
      </c>
      <c r="D209" s="64" t="s">
        <v>27</v>
      </c>
      <c r="E209" s="64" t="s">
        <v>14</v>
      </c>
      <c r="F209" s="64" t="s">
        <v>20</v>
      </c>
      <c r="G209" s="64">
        <v>45134</v>
      </c>
      <c r="H209" s="64">
        <v>156</v>
      </c>
      <c r="I209" s="64">
        <v>374.7</v>
      </c>
      <c r="J209" s="64">
        <v>73.88</v>
      </c>
    </row>
    <row r="210" spans="1:10">
      <c r="A210" s="64" t="s">
        <v>237</v>
      </c>
      <c r="B210" s="64" t="s">
        <v>48</v>
      </c>
      <c r="C210" s="64" t="s">
        <v>26</v>
      </c>
      <c r="D210" s="64" t="s">
        <v>42</v>
      </c>
      <c r="E210" s="64" t="s">
        <v>24</v>
      </c>
      <c r="F210" s="64" t="s">
        <v>20</v>
      </c>
      <c r="G210" s="64">
        <v>45135</v>
      </c>
      <c r="H210" s="64">
        <v>450</v>
      </c>
      <c r="I210" s="64">
        <v>359.17</v>
      </c>
      <c r="J210" s="64">
        <v>23.44</v>
      </c>
    </row>
    <row r="211" spans="1:10">
      <c r="A211" s="64" t="s">
        <v>238</v>
      </c>
      <c r="B211" s="64" t="s">
        <v>22</v>
      </c>
      <c r="C211" s="64" t="s">
        <v>18</v>
      </c>
      <c r="D211" s="64" t="s">
        <v>27</v>
      </c>
      <c r="E211" s="64" t="s">
        <v>14</v>
      </c>
      <c r="F211" s="64" t="s">
        <v>15</v>
      </c>
      <c r="G211" s="64">
        <v>45136</v>
      </c>
      <c r="H211" s="64">
        <v>462</v>
      </c>
      <c r="I211" s="64">
        <v>263.01</v>
      </c>
      <c r="J211" s="64">
        <v>129.38</v>
      </c>
    </row>
    <row r="212" spans="1:10">
      <c r="A212" s="64" t="s">
        <v>239</v>
      </c>
      <c r="B212" s="64" t="s">
        <v>11</v>
      </c>
      <c r="C212" s="64" t="s">
        <v>50</v>
      </c>
      <c r="D212" s="64" t="s">
        <v>13</v>
      </c>
      <c r="E212" s="64" t="s">
        <v>14</v>
      </c>
      <c r="F212" s="64" t="s">
        <v>28</v>
      </c>
      <c r="G212" s="64">
        <v>45137</v>
      </c>
      <c r="H212" s="64">
        <v>396</v>
      </c>
      <c r="I212" s="64">
        <v>412.08</v>
      </c>
      <c r="J212" s="64">
        <v>301.77</v>
      </c>
    </row>
    <row r="213" spans="1:10">
      <c r="A213" s="64" t="s">
        <v>240</v>
      </c>
      <c r="B213" s="64" t="s">
        <v>11</v>
      </c>
      <c r="C213" s="64" t="s">
        <v>50</v>
      </c>
      <c r="D213" s="64" t="s">
        <v>23</v>
      </c>
      <c r="E213" s="64" t="s">
        <v>24</v>
      </c>
      <c r="F213" s="64" t="s">
        <v>20</v>
      </c>
      <c r="G213" s="64">
        <v>45138</v>
      </c>
      <c r="H213" s="64">
        <v>266</v>
      </c>
      <c r="I213" s="64">
        <v>218.28</v>
      </c>
      <c r="J213" s="64">
        <v>109.19</v>
      </c>
    </row>
    <row r="214" spans="1:10">
      <c r="A214" s="64" t="s">
        <v>241</v>
      </c>
      <c r="B214" s="64" t="s">
        <v>22</v>
      </c>
      <c r="C214" s="64" t="s">
        <v>12</v>
      </c>
      <c r="D214" s="64" t="s">
        <v>42</v>
      </c>
      <c r="E214" s="64" t="s">
        <v>24</v>
      </c>
      <c r="F214" s="64" t="s">
        <v>15</v>
      </c>
      <c r="G214" s="64">
        <v>45139</v>
      </c>
      <c r="H214" s="64">
        <v>67</v>
      </c>
      <c r="I214" s="64">
        <v>448.87</v>
      </c>
      <c r="J214" s="64">
        <v>216.74</v>
      </c>
    </row>
    <row r="215" spans="1:10">
      <c r="A215" s="64" t="s">
        <v>242</v>
      </c>
      <c r="B215" s="64" t="s">
        <v>11</v>
      </c>
      <c r="C215" s="64" t="s">
        <v>26</v>
      </c>
      <c r="D215" s="64" t="s">
        <v>27</v>
      </c>
      <c r="E215" s="64" t="s">
        <v>14</v>
      </c>
      <c r="F215" s="64" t="s">
        <v>20</v>
      </c>
      <c r="G215" s="64">
        <v>45140</v>
      </c>
      <c r="H215" s="64">
        <v>389</v>
      </c>
      <c r="I215" s="64">
        <v>40.28</v>
      </c>
      <c r="J215" s="64">
        <v>291.72000000000003</v>
      </c>
    </row>
    <row r="216" spans="1:10">
      <c r="A216" s="64" t="s">
        <v>243</v>
      </c>
      <c r="B216" s="64" t="s">
        <v>11</v>
      </c>
      <c r="C216" s="64" t="s">
        <v>18</v>
      </c>
      <c r="D216" s="64" t="s">
        <v>42</v>
      </c>
      <c r="E216" s="64" t="s">
        <v>14</v>
      </c>
      <c r="F216" s="64" t="s">
        <v>28</v>
      </c>
      <c r="G216" s="64">
        <v>45141</v>
      </c>
      <c r="H216" s="64">
        <v>431</v>
      </c>
      <c r="I216" s="64">
        <v>477.56</v>
      </c>
      <c r="J216" s="64">
        <v>44.96</v>
      </c>
    </row>
    <row r="217" spans="1:10">
      <c r="A217" s="64" t="s">
        <v>244</v>
      </c>
      <c r="B217" s="64" t="s">
        <v>22</v>
      </c>
      <c r="C217" s="64" t="s">
        <v>12</v>
      </c>
      <c r="D217" s="64" t="s">
        <v>42</v>
      </c>
      <c r="E217" s="64" t="s">
        <v>24</v>
      </c>
      <c r="F217" s="64" t="s">
        <v>20</v>
      </c>
      <c r="G217" s="64">
        <v>45142</v>
      </c>
      <c r="H217" s="64">
        <v>24</v>
      </c>
      <c r="I217" s="64">
        <v>329.07</v>
      </c>
      <c r="J217" s="64">
        <v>274.75</v>
      </c>
    </row>
    <row r="218" spans="1:10">
      <c r="A218" s="64" t="s">
        <v>245</v>
      </c>
      <c r="B218" s="64" t="s">
        <v>17</v>
      </c>
      <c r="C218" s="64" t="s">
        <v>31</v>
      </c>
      <c r="D218" s="64" t="s">
        <v>23</v>
      </c>
      <c r="E218" s="64" t="s">
        <v>24</v>
      </c>
      <c r="F218" s="64" t="s">
        <v>20</v>
      </c>
      <c r="G218" s="64">
        <v>45143</v>
      </c>
      <c r="H218" s="64">
        <v>171</v>
      </c>
      <c r="I218" s="64">
        <v>193.14</v>
      </c>
      <c r="J218" s="64">
        <v>38.56</v>
      </c>
    </row>
    <row r="219" spans="1:10">
      <c r="A219" s="64" t="s">
        <v>246</v>
      </c>
      <c r="B219" s="64" t="s">
        <v>22</v>
      </c>
      <c r="C219" s="64" t="s">
        <v>12</v>
      </c>
      <c r="D219" s="64" t="s">
        <v>13</v>
      </c>
      <c r="E219" s="64" t="s">
        <v>14</v>
      </c>
      <c r="F219" s="64" t="s">
        <v>20</v>
      </c>
      <c r="G219" s="64">
        <v>45144</v>
      </c>
      <c r="H219" s="64">
        <v>454</v>
      </c>
      <c r="I219" s="64">
        <v>102.59</v>
      </c>
      <c r="J219" s="64">
        <v>386.12</v>
      </c>
    </row>
    <row r="220" spans="1:10">
      <c r="A220" s="64" t="s">
        <v>247</v>
      </c>
      <c r="B220" s="64" t="s">
        <v>17</v>
      </c>
      <c r="C220" s="64" t="s">
        <v>12</v>
      </c>
      <c r="D220" s="64" t="s">
        <v>42</v>
      </c>
      <c r="E220" s="64" t="s">
        <v>24</v>
      </c>
      <c r="F220" s="64" t="s">
        <v>20</v>
      </c>
      <c r="G220" s="64">
        <v>45145</v>
      </c>
      <c r="H220" s="64">
        <v>172</v>
      </c>
      <c r="I220" s="64">
        <v>242.2</v>
      </c>
      <c r="J220" s="64">
        <v>196.38</v>
      </c>
    </row>
    <row r="221" spans="1:10">
      <c r="A221" s="64" t="s">
        <v>248</v>
      </c>
      <c r="B221" s="64" t="s">
        <v>11</v>
      </c>
      <c r="C221" s="64" t="s">
        <v>26</v>
      </c>
      <c r="D221" s="64" t="s">
        <v>27</v>
      </c>
      <c r="E221" s="64" t="s">
        <v>14</v>
      </c>
      <c r="F221" s="64" t="s">
        <v>15</v>
      </c>
      <c r="G221" s="64">
        <v>45146</v>
      </c>
      <c r="H221" s="64">
        <v>329</v>
      </c>
      <c r="I221" s="64">
        <v>101.31</v>
      </c>
      <c r="J221" s="64">
        <v>61.97</v>
      </c>
    </row>
    <row r="222" spans="1:10">
      <c r="A222" s="64" t="s">
        <v>249</v>
      </c>
      <c r="B222" s="64" t="s">
        <v>11</v>
      </c>
      <c r="C222" s="64" t="s">
        <v>31</v>
      </c>
      <c r="D222" s="64" t="s">
        <v>19</v>
      </c>
      <c r="E222" s="64" t="s">
        <v>14</v>
      </c>
      <c r="F222" s="64" t="s">
        <v>15</v>
      </c>
      <c r="G222" s="64">
        <v>45147</v>
      </c>
      <c r="H222" s="64">
        <v>290</v>
      </c>
      <c r="I222" s="64">
        <v>87.33</v>
      </c>
      <c r="J222" s="64">
        <v>138.27000000000001</v>
      </c>
    </row>
    <row r="223" spans="1:10">
      <c r="A223" s="64" t="s">
        <v>250</v>
      </c>
      <c r="B223" s="64" t="s">
        <v>388</v>
      </c>
      <c r="C223" s="64" t="s">
        <v>12</v>
      </c>
      <c r="D223" s="64" t="s">
        <v>42</v>
      </c>
      <c r="E223" s="64" t="s">
        <v>14</v>
      </c>
      <c r="F223" s="64" t="s">
        <v>28</v>
      </c>
      <c r="G223" s="64">
        <v>45148</v>
      </c>
      <c r="H223" s="64">
        <v>289</v>
      </c>
      <c r="I223" s="64">
        <v>310.58999999999997</v>
      </c>
      <c r="J223" s="64">
        <v>166.54</v>
      </c>
    </row>
    <row r="224" spans="1:10">
      <c r="A224" s="64" t="s">
        <v>251</v>
      </c>
      <c r="B224" s="64" t="s">
        <v>48</v>
      </c>
      <c r="C224" s="64" t="s">
        <v>18</v>
      </c>
      <c r="D224" s="64" t="s">
        <v>42</v>
      </c>
      <c r="E224" s="64" t="s">
        <v>14</v>
      </c>
      <c r="F224" s="64" t="s">
        <v>15</v>
      </c>
      <c r="G224" s="64">
        <v>45149</v>
      </c>
      <c r="H224" s="64">
        <v>21</v>
      </c>
      <c r="I224" s="64">
        <v>263.93</v>
      </c>
      <c r="J224" s="64">
        <v>303.76</v>
      </c>
    </row>
    <row r="225" spans="1:10">
      <c r="A225" s="64" t="s">
        <v>252</v>
      </c>
      <c r="B225" s="64" t="s">
        <v>17</v>
      </c>
      <c r="C225" s="64" t="s">
        <v>18</v>
      </c>
      <c r="D225" s="64" t="s">
        <v>23</v>
      </c>
      <c r="E225" s="64" t="s">
        <v>14</v>
      </c>
      <c r="F225" s="64" t="s">
        <v>15</v>
      </c>
      <c r="G225" s="64">
        <v>45150</v>
      </c>
      <c r="H225" s="64">
        <v>283</v>
      </c>
      <c r="I225" s="64">
        <v>336.7</v>
      </c>
      <c r="J225" s="64">
        <v>297.88</v>
      </c>
    </row>
    <row r="226" spans="1:10">
      <c r="A226" s="64" t="s">
        <v>253</v>
      </c>
      <c r="B226" s="64" t="s">
        <v>48</v>
      </c>
      <c r="C226" s="64" t="s">
        <v>50</v>
      </c>
      <c r="D226" s="64" t="s">
        <v>13</v>
      </c>
      <c r="E226" s="64" t="s">
        <v>24</v>
      </c>
      <c r="F226" s="64" t="s">
        <v>28</v>
      </c>
      <c r="G226" s="64">
        <v>45151</v>
      </c>
      <c r="H226" s="64">
        <v>280</v>
      </c>
      <c r="I226" s="64">
        <v>465.15</v>
      </c>
      <c r="J226" s="64">
        <v>245.55</v>
      </c>
    </row>
    <row r="227" spans="1:10">
      <c r="A227" s="64" t="s">
        <v>254</v>
      </c>
      <c r="B227" s="64" t="s">
        <v>48</v>
      </c>
      <c r="C227" s="64" t="s">
        <v>31</v>
      </c>
      <c r="D227" s="64" t="s">
        <v>19</v>
      </c>
      <c r="E227" s="64" t="s">
        <v>24</v>
      </c>
      <c r="F227" s="64" t="s">
        <v>15</v>
      </c>
      <c r="G227" s="64">
        <v>45152</v>
      </c>
      <c r="H227" s="64">
        <v>217</v>
      </c>
      <c r="I227" s="64">
        <v>268.47000000000003</v>
      </c>
      <c r="J227" s="64">
        <v>44.16</v>
      </c>
    </row>
    <row r="228" spans="1:10">
      <c r="A228" s="64" t="s">
        <v>255</v>
      </c>
      <c r="B228" s="64" t="s">
        <v>22</v>
      </c>
      <c r="C228" s="64" t="s">
        <v>31</v>
      </c>
      <c r="D228" s="64" t="s">
        <v>27</v>
      </c>
      <c r="E228" s="64" t="s">
        <v>24</v>
      </c>
      <c r="F228" s="64" t="s">
        <v>15</v>
      </c>
      <c r="G228" s="64">
        <v>45153</v>
      </c>
      <c r="H228" s="64">
        <v>36</v>
      </c>
      <c r="I228" s="64">
        <v>292.56</v>
      </c>
      <c r="J228" s="64">
        <v>62.32</v>
      </c>
    </row>
    <row r="229" spans="1:10">
      <c r="A229" s="64" t="s">
        <v>256</v>
      </c>
      <c r="B229" s="64" t="s">
        <v>48</v>
      </c>
      <c r="C229" s="64" t="s">
        <v>50</v>
      </c>
      <c r="D229" s="64" t="s">
        <v>19</v>
      </c>
      <c r="E229" s="64" t="s">
        <v>24</v>
      </c>
      <c r="F229" s="64" t="s">
        <v>28</v>
      </c>
      <c r="G229" s="64">
        <v>45154</v>
      </c>
      <c r="I229" s="64">
        <v>49.37</v>
      </c>
      <c r="J229" s="64">
        <v>39.32</v>
      </c>
    </row>
    <row r="230" spans="1:10">
      <c r="A230" s="64" t="s">
        <v>257</v>
      </c>
      <c r="B230" s="64" t="s">
        <v>22</v>
      </c>
      <c r="C230" s="64" t="s">
        <v>12</v>
      </c>
      <c r="D230" s="64" t="s">
        <v>27</v>
      </c>
      <c r="E230" s="64" t="s">
        <v>14</v>
      </c>
      <c r="F230" s="64" t="s">
        <v>28</v>
      </c>
      <c r="G230" s="64">
        <v>45155</v>
      </c>
      <c r="H230" s="64">
        <v>69</v>
      </c>
      <c r="I230" s="64">
        <v>360.23</v>
      </c>
      <c r="J230" s="64">
        <v>231.71</v>
      </c>
    </row>
    <row r="231" spans="1:10">
      <c r="A231" s="64" t="s">
        <v>258</v>
      </c>
      <c r="B231" s="64" t="s">
        <v>22</v>
      </c>
      <c r="C231" s="64" t="s">
        <v>31</v>
      </c>
      <c r="D231" s="64" t="s">
        <v>13</v>
      </c>
      <c r="E231" s="64" t="s">
        <v>14</v>
      </c>
      <c r="F231" s="64" t="s">
        <v>28</v>
      </c>
      <c r="G231" s="64">
        <v>45156</v>
      </c>
      <c r="H231" s="64">
        <v>439</v>
      </c>
      <c r="I231" s="64">
        <v>202.95</v>
      </c>
      <c r="J231" s="64">
        <v>351.1</v>
      </c>
    </row>
    <row r="232" spans="1:10">
      <c r="A232" s="64" t="s">
        <v>259</v>
      </c>
      <c r="B232" s="64" t="s">
        <v>48</v>
      </c>
      <c r="C232" s="64" t="s">
        <v>18</v>
      </c>
      <c r="D232" s="64" t="s">
        <v>27</v>
      </c>
      <c r="E232" s="64" t="s">
        <v>14</v>
      </c>
      <c r="F232" s="64" t="s">
        <v>20</v>
      </c>
      <c r="G232" s="64">
        <v>45157</v>
      </c>
      <c r="H232" s="64">
        <v>482</v>
      </c>
      <c r="I232" s="64">
        <v>488.48</v>
      </c>
      <c r="J232" s="64">
        <v>174.65</v>
      </c>
    </row>
    <row r="233" spans="1:10">
      <c r="A233" s="64" t="s">
        <v>260</v>
      </c>
      <c r="B233" s="64" t="s">
        <v>17</v>
      </c>
      <c r="C233" s="64" t="s">
        <v>18</v>
      </c>
      <c r="D233" s="64" t="s">
        <v>23</v>
      </c>
      <c r="E233" s="64" t="s">
        <v>14</v>
      </c>
      <c r="F233" s="64" t="s">
        <v>20</v>
      </c>
      <c r="G233" s="64">
        <v>45158</v>
      </c>
      <c r="H233" s="64">
        <v>154</v>
      </c>
      <c r="I233" s="64">
        <v>412.47</v>
      </c>
      <c r="J233" s="64">
        <v>66.02</v>
      </c>
    </row>
    <row r="234" spans="1:10">
      <c r="A234" s="64" t="s">
        <v>261</v>
      </c>
      <c r="B234" s="64" t="s">
        <v>17</v>
      </c>
      <c r="C234" s="64" t="s">
        <v>26</v>
      </c>
      <c r="D234" s="64" t="s">
        <v>23</v>
      </c>
      <c r="E234" s="64" t="s">
        <v>24</v>
      </c>
      <c r="F234" s="64" t="s">
        <v>28</v>
      </c>
      <c r="G234" s="64">
        <v>45159</v>
      </c>
      <c r="H234" s="64">
        <v>102</v>
      </c>
      <c r="I234" s="64">
        <v>263.63</v>
      </c>
      <c r="J234" s="64">
        <v>224.1</v>
      </c>
    </row>
    <row r="235" spans="1:10">
      <c r="A235" s="64" t="s">
        <v>262</v>
      </c>
      <c r="B235" s="64" t="s">
        <v>17</v>
      </c>
      <c r="C235" s="64" t="s">
        <v>31</v>
      </c>
      <c r="D235" s="64" t="s">
        <v>23</v>
      </c>
      <c r="E235" s="64" t="s">
        <v>14</v>
      </c>
      <c r="F235" s="64" t="s">
        <v>28</v>
      </c>
      <c r="G235" s="64">
        <v>45160</v>
      </c>
      <c r="H235" s="64">
        <v>318</v>
      </c>
      <c r="I235" s="64">
        <v>66</v>
      </c>
      <c r="J235" s="64">
        <v>325.08</v>
      </c>
    </row>
    <row r="236" spans="1:10">
      <c r="A236" s="64" t="s">
        <v>263</v>
      </c>
      <c r="B236" s="64" t="s">
        <v>17</v>
      </c>
      <c r="C236" s="64" t="s">
        <v>12</v>
      </c>
      <c r="D236" s="64" t="s">
        <v>23</v>
      </c>
      <c r="E236" s="64" t="s">
        <v>14</v>
      </c>
      <c r="F236" s="64" t="s">
        <v>28</v>
      </c>
      <c r="G236" s="64">
        <v>45161</v>
      </c>
      <c r="H236" s="64">
        <v>17</v>
      </c>
      <c r="I236" s="64">
        <v>430.41</v>
      </c>
      <c r="J236" s="64">
        <v>297.2</v>
      </c>
    </row>
    <row r="237" spans="1:10">
      <c r="A237" s="64" t="s">
        <v>264</v>
      </c>
      <c r="B237" s="64" t="s">
        <v>17</v>
      </c>
      <c r="C237" s="64" t="s">
        <v>50</v>
      </c>
      <c r="D237" s="64" t="s">
        <v>19</v>
      </c>
      <c r="E237" s="64" t="s">
        <v>24</v>
      </c>
      <c r="F237" s="64" t="s">
        <v>20</v>
      </c>
      <c r="G237" s="64">
        <v>45162</v>
      </c>
      <c r="H237" s="64">
        <v>88</v>
      </c>
      <c r="I237" s="64">
        <v>400.89</v>
      </c>
      <c r="J237" s="64">
        <v>352.82</v>
      </c>
    </row>
    <row r="238" spans="1:10">
      <c r="A238" s="64" t="s">
        <v>265</v>
      </c>
      <c r="B238" s="64" t="s">
        <v>48</v>
      </c>
      <c r="C238" s="64" t="s">
        <v>50</v>
      </c>
      <c r="D238" s="64" t="s">
        <v>13</v>
      </c>
      <c r="E238" s="64" t="s">
        <v>24</v>
      </c>
      <c r="F238" s="64" t="s">
        <v>20</v>
      </c>
      <c r="G238" s="64">
        <v>45163</v>
      </c>
      <c r="H238" s="64">
        <v>36</v>
      </c>
      <c r="I238" s="64">
        <v>96.37</v>
      </c>
      <c r="J238" s="64">
        <v>112.61</v>
      </c>
    </row>
    <row r="239" spans="1:10">
      <c r="A239" s="64" t="s">
        <v>266</v>
      </c>
      <c r="B239" s="64" t="s">
        <v>48</v>
      </c>
      <c r="C239" s="64" t="s">
        <v>12</v>
      </c>
      <c r="D239" s="64" t="s">
        <v>27</v>
      </c>
      <c r="E239" s="64" t="s">
        <v>24</v>
      </c>
      <c r="F239" s="64" t="s">
        <v>15</v>
      </c>
      <c r="G239" s="64">
        <v>45164</v>
      </c>
      <c r="H239" s="64">
        <v>183</v>
      </c>
      <c r="I239" s="64">
        <v>151.16</v>
      </c>
      <c r="J239" s="64">
        <v>79.19</v>
      </c>
    </row>
    <row r="240" spans="1:10">
      <c r="A240" s="64" t="s">
        <v>267</v>
      </c>
      <c r="B240" s="64" t="s">
        <v>11</v>
      </c>
      <c r="C240" s="64" t="s">
        <v>26</v>
      </c>
      <c r="D240" s="64" t="s">
        <v>27</v>
      </c>
      <c r="E240" s="64" t="s">
        <v>24</v>
      </c>
      <c r="F240" s="64" t="s">
        <v>15</v>
      </c>
      <c r="G240" s="64">
        <v>45165</v>
      </c>
      <c r="H240" s="64">
        <v>59</v>
      </c>
      <c r="I240" s="64">
        <v>397.74</v>
      </c>
      <c r="J240" s="64">
        <v>352.17</v>
      </c>
    </row>
    <row r="241" spans="1:10">
      <c r="A241" s="64" t="s">
        <v>268</v>
      </c>
      <c r="B241" s="64" t="s">
        <v>17</v>
      </c>
      <c r="C241" s="64" t="s">
        <v>50</v>
      </c>
      <c r="D241" s="64" t="s">
        <v>23</v>
      </c>
      <c r="E241" s="64" t="s">
        <v>14</v>
      </c>
      <c r="F241" s="64" t="s">
        <v>28</v>
      </c>
      <c r="G241" s="64">
        <v>45166</v>
      </c>
      <c r="H241" s="64">
        <v>208</v>
      </c>
      <c r="I241" s="64">
        <v>96.69</v>
      </c>
      <c r="J241" s="64">
        <v>263.70999999999998</v>
      </c>
    </row>
    <row r="242" spans="1:10">
      <c r="A242" s="64" t="s">
        <v>269</v>
      </c>
      <c r="B242" s="64" t="s">
        <v>48</v>
      </c>
      <c r="C242" s="64" t="s">
        <v>31</v>
      </c>
      <c r="D242" s="64" t="s">
        <v>23</v>
      </c>
      <c r="E242" s="64" t="s">
        <v>14</v>
      </c>
      <c r="F242" s="64" t="s">
        <v>20</v>
      </c>
      <c r="G242" s="64">
        <v>45167</v>
      </c>
      <c r="H242" s="64">
        <v>396</v>
      </c>
      <c r="I242" s="64">
        <v>459.29</v>
      </c>
      <c r="J242" s="64">
        <v>125.75</v>
      </c>
    </row>
    <row r="243" spans="1:10">
      <c r="A243" s="64" t="s">
        <v>270</v>
      </c>
      <c r="B243" s="64" t="s">
        <v>11</v>
      </c>
      <c r="C243" s="64" t="s">
        <v>26</v>
      </c>
      <c r="D243" s="64" t="s">
        <v>42</v>
      </c>
      <c r="E243" s="64" t="s">
        <v>24</v>
      </c>
      <c r="F243" s="64" t="s">
        <v>20</v>
      </c>
      <c r="G243" s="64">
        <v>45168</v>
      </c>
      <c r="H243" s="64">
        <v>358</v>
      </c>
      <c r="I243" s="64">
        <v>215.14</v>
      </c>
      <c r="J243" s="64">
        <v>297.45</v>
      </c>
    </row>
    <row r="244" spans="1:10">
      <c r="A244" s="64" t="s">
        <v>271</v>
      </c>
      <c r="B244" s="64" t="s">
        <v>17</v>
      </c>
      <c r="C244" s="64" t="s">
        <v>31</v>
      </c>
      <c r="D244" s="64" t="s">
        <v>13</v>
      </c>
      <c r="E244" s="64" t="s">
        <v>14</v>
      </c>
      <c r="F244" s="64" t="s">
        <v>20</v>
      </c>
      <c r="G244" s="64">
        <v>45169</v>
      </c>
      <c r="H244" s="64">
        <v>457</v>
      </c>
      <c r="I244" s="64">
        <v>48.08</v>
      </c>
      <c r="J244" s="64">
        <v>326.42</v>
      </c>
    </row>
    <row r="245" spans="1:10">
      <c r="A245" s="64" t="s">
        <v>272</v>
      </c>
      <c r="B245" s="64" t="s">
        <v>22</v>
      </c>
      <c r="C245" s="64" t="s">
        <v>18</v>
      </c>
      <c r="D245" s="64" t="s">
        <v>19</v>
      </c>
      <c r="E245" s="64" t="s">
        <v>14</v>
      </c>
      <c r="F245" s="64" t="s">
        <v>28</v>
      </c>
      <c r="G245" s="64">
        <v>45170</v>
      </c>
      <c r="H245" s="64">
        <v>437</v>
      </c>
      <c r="I245" s="64">
        <v>408.8</v>
      </c>
      <c r="J245" s="64">
        <v>246.76</v>
      </c>
    </row>
    <row r="246" spans="1:10">
      <c r="A246" s="64" t="s">
        <v>273</v>
      </c>
      <c r="B246" s="64" t="s">
        <v>11</v>
      </c>
      <c r="C246" s="64" t="s">
        <v>26</v>
      </c>
      <c r="D246" s="64" t="s">
        <v>27</v>
      </c>
      <c r="E246" s="64" t="s">
        <v>14</v>
      </c>
      <c r="F246" s="64" t="s">
        <v>15</v>
      </c>
      <c r="G246" s="64">
        <v>45171</v>
      </c>
      <c r="H246" s="64">
        <v>190</v>
      </c>
      <c r="I246" s="64">
        <v>189.89</v>
      </c>
      <c r="J246" s="64">
        <v>275.77999999999997</v>
      </c>
    </row>
    <row r="247" spans="1:10">
      <c r="A247" s="64" t="s">
        <v>274</v>
      </c>
      <c r="B247" s="64" t="s">
        <v>48</v>
      </c>
      <c r="C247" s="64" t="s">
        <v>50</v>
      </c>
      <c r="D247" s="64" t="s">
        <v>42</v>
      </c>
      <c r="E247" s="64" t="s">
        <v>24</v>
      </c>
      <c r="F247" s="64" t="s">
        <v>28</v>
      </c>
      <c r="G247" s="64">
        <v>45172</v>
      </c>
      <c r="H247" s="64">
        <v>33</v>
      </c>
      <c r="I247" s="64">
        <v>265.62</v>
      </c>
      <c r="J247" s="64">
        <v>151.35</v>
      </c>
    </row>
    <row r="248" spans="1:10">
      <c r="A248" s="64" t="s">
        <v>275</v>
      </c>
      <c r="B248" s="64" t="s">
        <v>22</v>
      </c>
      <c r="C248" s="64" t="s">
        <v>26</v>
      </c>
      <c r="D248" s="64" t="s">
        <v>42</v>
      </c>
      <c r="E248" s="64" t="s">
        <v>14</v>
      </c>
      <c r="F248" s="64" t="s">
        <v>15</v>
      </c>
      <c r="G248" s="64">
        <v>45173</v>
      </c>
      <c r="H248" s="64">
        <v>325</v>
      </c>
      <c r="I248" s="64">
        <v>60.59</v>
      </c>
      <c r="J248" s="64">
        <v>216.4</v>
      </c>
    </row>
    <row r="249" spans="1:10">
      <c r="A249" s="64" t="s">
        <v>276</v>
      </c>
      <c r="B249" s="64" t="s">
        <v>22</v>
      </c>
      <c r="C249" s="64" t="s">
        <v>26</v>
      </c>
      <c r="D249" s="64" t="s">
        <v>27</v>
      </c>
      <c r="E249" s="64" t="s">
        <v>24</v>
      </c>
      <c r="F249" s="64" t="s">
        <v>15</v>
      </c>
      <c r="G249" s="64">
        <v>45174</v>
      </c>
      <c r="H249" s="64">
        <v>387</v>
      </c>
      <c r="I249" s="64">
        <v>6.28</v>
      </c>
      <c r="J249" s="64">
        <v>210.62</v>
      </c>
    </row>
    <row r="250" spans="1:10">
      <c r="A250" s="64" t="s">
        <v>277</v>
      </c>
      <c r="B250" s="64" t="s">
        <v>22</v>
      </c>
      <c r="C250" s="64" t="s">
        <v>26</v>
      </c>
      <c r="D250" s="64" t="s">
        <v>19</v>
      </c>
      <c r="E250" s="64" t="s">
        <v>14</v>
      </c>
      <c r="F250" s="64" t="s">
        <v>28</v>
      </c>
      <c r="G250" s="64">
        <v>45175</v>
      </c>
      <c r="H250" s="64">
        <v>396</v>
      </c>
      <c r="I250" s="64">
        <v>320.8</v>
      </c>
      <c r="J250" s="64">
        <v>339.52</v>
      </c>
    </row>
    <row r="251" spans="1:10">
      <c r="A251" s="64" t="s">
        <v>278</v>
      </c>
      <c r="B251" s="64" t="s">
        <v>11</v>
      </c>
      <c r="C251" s="64" t="s">
        <v>26</v>
      </c>
      <c r="D251" s="64" t="s">
        <v>42</v>
      </c>
      <c r="E251" s="64" t="s">
        <v>14</v>
      </c>
      <c r="F251" s="64" t="s">
        <v>15</v>
      </c>
      <c r="G251" s="64">
        <v>45176</v>
      </c>
      <c r="H251" s="64">
        <v>413</v>
      </c>
      <c r="I251" s="64">
        <v>260.01</v>
      </c>
      <c r="J251" s="64">
        <v>336.31</v>
      </c>
    </row>
    <row r="252" spans="1:10">
      <c r="A252" s="64" t="s">
        <v>279</v>
      </c>
      <c r="B252" s="64" t="s">
        <v>48</v>
      </c>
      <c r="C252" s="64" t="s">
        <v>31</v>
      </c>
      <c r="D252" s="64" t="s">
        <v>42</v>
      </c>
      <c r="E252" s="64" t="s">
        <v>14</v>
      </c>
      <c r="F252" s="64" t="s">
        <v>15</v>
      </c>
      <c r="G252" s="64">
        <v>45177</v>
      </c>
      <c r="I252" s="64">
        <v>298.8</v>
      </c>
      <c r="J252" s="64">
        <v>333.41</v>
      </c>
    </row>
    <row r="253" spans="1:10">
      <c r="A253" s="64" t="s">
        <v>280</v>
      </c>
      <c r="B253" s="64" t="s">
        <v>22</v>
      </c>
      <c r="C253" s="64" t="s">
        <v>18</v>
      </c>
      <c r="D253" s="64" t="s">
        <v>13</v>
      </c>
      <c r="E253" s="64" t="s">
        <v>24</v>
      </c>
      <c r="F253" s="64" t="s">
        <v>20</v>
      </c>
      <c r="G253" s="64">
        <v>45178</v>
      </c>
      <c r="H253" s="64">
        <v>24</v>
      </c>
      <c r="I253" s="64">
        <v>397.9</v>
      </c>
      <c r="J253" s="64">
        <v>6.39</v>
      </c>
    </row>
    <row r="254" spans="1:10">
      <c r="A254" s="64" t="s">
        <v>281</v>
      </c>
      <c r="B254" s="64" t="s">
        <v>17</v>
      </c>
      <c r="C254" s="64" t="s">
        <v>12</v>
      </c>
      <c r="D254" s="64" t="s">
        <v>13</v>
      </c>
      <c r="E254" s="64" t="s">
        <v>14</v>
      </c>
      <c r="F254" s="64" t="s">
        <v>15</v>
      </c>
      <c r="G254" s="64">
        <v>45179</v>
      </c>
      <c r="H254" s="64">
        <v>162</v>
      </c>
      <c r="I254" s="64">
        <v>325.07</v>
      </c>
      <c r="J254" s="64">
        <v>300.32</v>
      </c>
    </row>
    <row r="255" spans="1:10">
      <c r="A255" s="64" t="s">
        <v>282</v>
      </c>
      <c r="B255" s="64" t="s">
        <v>22</v>
      </c>
      <c r="C255" s="64" t="s">
        <v>26</v>
      </c>
      <c r="D255" s="64" t="s">
        <v>42</v>
      </c>
      <c r="E255" s="64" t="s">
        <v>24</v>
      </c>
      <c r="F255" s="64" t="s">
        <v>28</v>
      </c>
      <c r="G255" s="64">
        <v>45180</v>
      </c>
      <c r="H255" s="64">
        <v>231</v>
      </c>
      <c r="I255" s="64">
        <v>91.51</v>
      </c>
      <c r="J255" s="64">
        <v>303.95</v>
      </c>
    </row>
    <row r="256" spans="1:10">
      <c r="A256" s="64" t="s">
        <v>283</v>
      </c>
      <c r="B256" s="64" t="s">
        <v>22</v>
      </c>
      <c r="C256" s="64" t="s">
        <v>50</v>
      </c>
      <c r="D256" s="64" t="s">
        <v>19</v>
      </c>
      <c r="E256" s="64" t="s">
        <v>24</v>
      </c>
      <c r="F256" s="64" t="s">
        <v>28</v>
      </c>
      <c r="G256" s="64">
        <v>45181</v>
      </c>
      <c r="H256" s="64">
        <v>215</v>
      </c>
      <c r="I256" s="64">
        <v>183.58</v>
      </c>
      <c r="J256" s="64">
        <v>271.99</v>
      </c>
    </row>
    <row r="257" spans="1:10">
      <c r="A257" s="64" t="s">
        <v>284</v>
      </c>
      <c r="B257" s="64" t="s">
        <v>11</v>
      </c>
      <c r="C257" s="64" t="s">
        <v>26</v>
      </c>
      <c r="D257" s="64" t="s">
        <v>27</v>
      </c>
      <c r="E257" s="64" t="s">
        <v>24</v>
      </c>
      <c r="F257" s="64" t="s">
        <v>15</v>
      </c>
      <c r="G257" s="64">
        <v>45182</v>
      </c>
      <c r="H257" s="64">
        <v>464</v>
      </c>
      <c r="I257" s="64">
        <v>453.42</v>
      </c>
      <c r="J257" s="64">
        <v>302.99</v>
      </c>
    </row>
    <row r="258" spans="1:10">
      <c r="A258" s="64" t="s">
        <v>285</v>
      </c>
      <c r="B258" s="64" t="s">
        <v>11</v>
      </c>
      <c r="C258" s="64" t="s">
        <v>50</v>
      </c>
      <c r="D258" s="64" t="s">
        <v>23</v>
      </c>
      <c r="E258" s="64" t="s">
        <v>14</v>
      </c>
      <c r="F258" s="64" t="s">
        <v>20</v>
      </c>
      <c r="G258" s="64">
        <v>45183</v>
      </c>
      <c r="H258" s="64">
        <v>282</v>
      </c>
      <c r="J258" s="64">
        <v>337.1</v>
      </c>
    </row>
    <row r="259" spans="1:10">
      <c r="A259" s="64" t="s">
        <v>286</v>
      </c>
      <c r="B259" s="64" t="s">
        <v>48</v>
      </c>
      <c r="C259" s="64" t="s">
        <v>31</v>
      </c>
      <c r="D259" s="64" t="s">
        <v>42</v>
      </c>
      <c r="E259" s="64" t="s">
        <v>14</v>
      </c>
      <c r="F259" s="64" t="s">
        <v>20</v>
      </c>
      <c r="G259" s="64">
        <v>45184</v>
      </c>
      <c r="H259" s="64">
        <v>391</v>
      </c>
      <c r="I259" s="64">
        <v>280.54000000000002</v>
      </c>
      <c r="J259" s="64">
        <v>189.19</v>
      </c>
    </row>
    <row r="260" spans="1:10">
      <c r="A260" s="64" t="s">
        <v>287</v>
      </c>
      <c r="B260" s="64" t="s">
        <v>17</v>
      </c>
      <c r="C260" s="64" t="s">
        <v>50</v>
      </c>
      <c r="D260" s="64" t="s">
        <v>13</v>
      </c>
      <c r="E260" s="64" t="s">
        <v>14</v>
      </c>
      <c r="F260" s="64" t="s">
        <v>15</v>
      </c>
      <c r="G260" s="64">
        <v>45185</v>
      </c>
      <c r="H260" s="64">
        <v>245</v>
      </c>
      <c r="I260" s="64">
        <v>131.54</v>
      </c>
      <c r="J260" s="64">
        <v>201.82</v>
      </c>
    </row>
    <row r="261" spans="1:10">
      <c r="A261" s="64" t="s">
        <v>288</v>
      </c>
      <c r="B261" s="64" t="s">
        <v>11</v>
      </c>
      <c r="C261" s="64" t="s">
        <v>12</v>
      </c>
      <c r="D261" s="64" t="s">
        <v>27</v>
      </c>
      <c r="E261" s="64" t="s">
        <v>14</v>
      </c>
      <c r="F261" s="64" t="s">
        <v>15</v>
      </c>
      <c r="G261" s="64">
        <v>45186</v>
      </c>
      <c r="H261" s="64">
        <v>349</v>
      </c>
      <c r="I261" s="64">
        <v>154.52000000000001</v>
      </c>
      <c r="J261" s="64">
        <v>51.64</v>
      </c>
    </row>
    <row r="262" spans="1:10">
      <c r="A262" s="64" t="s">
        <v>289</v>
      </c>
      <c r="B262" s="64" t="s">
        <v>22</v>
      </c>
      <c r="C262" s="64" t="s">
        <v>18</v>
      </c>
      <c r="D262" s="64" t="s">
        <v>19</v>
      </c>
      <c r="E262" s="64" t="s">
        <v>24</v>
      </c>
      <c r="F262" s="64" t="s">
        <v>28</v>
      </c>
      <c r="G262" s="64">
        <v>45187</v>
      </c>
      <c r="H262" s="64">
        <v>237</v>
      </c>
      <c r="J262" s="64">
        <v>155.38</v>
      </c>
    </row>
    <row r="263" spans="1:10">
      <c r="A263" s="64" t="s">
        <v>290</v>
      </c>
      <c r="B263" s="64" t="s">
        <v>48</v>
      </c>
      <c r="C263" s="64" t="s">
        <v>50</v>
      </c>
      <c r="D263" s="64" t="s">
        <v>27</v>
      </c>
      <c r="E263" s="64" t="s">
        <v>24</v>
      </c>
      <c r="F263" s="64" t="s">
        <v>15</v>
      </c>
      <c r="G263" s="64">
        <v>45188</v>
      </c>
      <c r="H263" s="64">
        <v>18</v>
      </c>
      <c r="I263" s="64">
        <v>426.33</v>
      </c>
      <c r="J263" s="64">
        <v>258.06</v>
      </c>
    </row>
    <row r="264" spans="1:10">
      <c r="A264" s="64" t="s">
        <v>291</v>
      </c>
      <c r="B264" s="64" t="s">
        <v>22</v>
      </c>
      <c r="C264" s="64" t="s">
        <v>50</v>
      </c>
      <c r="D264" s="64" t="s">
        <v>42</v>
      </c>
      <c r="E264" s="64" t="s">
        <v>24</v>
      </c>
      <c r="F264" s="64" t="s">
        <v>20</v>
      </c>
      <c r="G264" s="64">
        <v>45189</v>
      </c>
      <c r="H264" s="64">
        <v>175</v>
      </c>
      <c r="I264" s="64">
        <v>337.36</v>
      </c>
      <c r="J264" s="64">
        <v>312.60000000000002</v>
      </c>
    </row>
    <row r="265" spans="1:10">
      <c r="A265" s="64" t="s">
        <v>292</v>
      </c>
      <c r="B265" s="64" t="s">
        <v>22</v>
      </c>
      <c r="C265" s="64" t="s">
        <v>18</v>
      </c>
      <c r="D265" s="64" t="s">
        <v>13</v>
      </c>
      <c r="E265" s="64" t="s">
        <v>14</v>
      </c>
      <c r="F265" s="64" t="s">
        <v>15</v>
      </c>
      <c r="G265" s="64">
        <v>45190</v>
      </c>
      <c r="H265" s="64">
        <v>441</v>
      </c>
      <c r="I265" s="64">
        <v>405.72</v>
      </c>
      <c r="J265" s="64">
        <v>88.45</v>
      </c>
    </row>
    <row r="266" spans="1:10">
      <c r="A266" s="64" t="s">
        <v>293</v>
      </c>
      <c r="B266" s="64" t="s">
        <v>11</v>
      </c>
      <c r="C266" s="64" t="s">
        <v>12</v>
      </c>
      <c r="D266" s="64" t="s">
        <v>23</v>
      </c>
      <c r="E266" s="64" t="s">
        <v>24</v>
      </c>
      <c r="F266" s="64" t="s">
        <v>28</v>
      </c>
      <c r="G266" s="64">
        <v>45191</v>
      </c>
      <c r="H266" s="64">
        <v>453</v>
      </c>
      <c r="I266" s="64">
        <v>384.49</v>
      </c>
      <c r="J266" s="64">
        <v>56.85</v>
      </c>
    </row>
    <row r="267" spans="1:10">
      <c r="A267" s="64" t="s">
        <v>294</v>
      </c>
      <c r="B267" s="64" t="s">
        <v>48</v>
      </c>
      <c r="C267" s="64" t="s">
        <v>26</v>
      </c>
      <c r="D267" s="64" t="s">
        <v>27</v>
      </c>
      <c r="E267" s="64" t="s">
        <v>14</v>
      </c>
      <c r="F267" s="64" t="s">
        <v>28</v>
      </c>
      <c r="G267" s="64">
        <v>45192</v>
      </c>
      <c r="H267" s="64">
        <v>328</v>
      </c>
      <c r="I267" s="64">
        <v>79.099999999999994</v>
      </c>
      <c r="J267" s="64">
        <v>265.89</v>
      </c>
    </row>
    <row r="268" spans="1:10">
      <c r="A268" s="64" t="s">
        <v>295</v>
      </c>
      <c r="B268" s="64" t="s">
        <v>17</v>
      </c>
      <c r="C268" s="64" t="s">
        <v>50</v>
      </c>
      <c r="D268" s="64" t="s">
        <v>42</v>
      </c>
      <c r="E268" s="64" t="s">
        <v>24</v>
      </c>
      <c r="F268" s="64" t="s">
        <v>28</v>
      </c>
      <c r="G268" s="64">
        <v>45193</v>
      </c>
      <c r="H268" s="64">
        <v>223</v>
      </c>
      <c r="I268" s="64">
        <v>214.85</v>
      </c>
      <c r="J268" s="64">
        <v>2.75</v>
      </c>
    </row>
    <row r="269" spans="1:10">
      <c r="A269" s="64" t="s">
        <v>296</v>
      </c>
      <c r="B269" s="64" t="s">
        <v>17</v>
      </c>
      <c r="C269" s="64" t="s">
        <v>18</v>
      </c>
      <c r="D269" s="64" t="s">
        <v>13</v>
      </c>
      <c r="E269" s="64" t="s">
        <v>14</v>
      </c>
      <c r="F269" s="64" t="s">
        <v>28</v>
      </c>
      <c r="G269" s="64">
        <v>45194</v>
      </c>
      <c r="H269" s="64">
        <v>126</v>
      </c>
      <c r="I269" s="64">
        <v>80.73</v>
      </c>
      <c r="J269" s="64">
        <v>72.989999999999995</v>
      </c>
    </row>
    <row r="270" spans="1:10">
      <c r="A270" s="64" t="s">
        <v>297</v>
      </c>
      <c r="B270" s="64" t="s">
        <v>11</v>
      </c>
      <c r="C270" s="64" t="s">
        <v>31</v>
      </c>
      <c r="D270" s="64" t="s">
        <v>19</v>
      </c>
      <c r="E270" s="64" t="s">
        <v>14</v>
      </c>
      <c r="F270" s="64" t="s">
        <v>28</v>
      </c>
      <c r="G270" s="64">
        <v>45195</v>
      </c>
      <c r="H270" s="64">
        <v>395</v>
      </c>
      <c r="I270" s="64">
        <v>121.44</v>
      </c>
      <c r="J270" s="64">
        <v>13.57</v>
      </c>
    </row>
    <row r="271" spans="1:10">
      <c r="A271" s="64" t="s">
        <v>298</v>
      </c>
      <c r="B271" s="64" t="s">
        <v>11</v>
      </c>
      <c r="C271" s="64" t="s">
        <v>18</v>
      </c>
      <c r="D271" s="64" t="s">
        <v>27</v>
      </c>
      <c r="E271" s="64" t="s">
        <v>24</v>
      </c>
      <c r="F271" s="64" t="s">
        <v>15</v>
      </c>
      <c r="G271" s="64">
        <v>45196</v>
      </c>
      <c r="H271" s="64">
        <v>353</v>
      </c>
      <c r="I271" s="64">
        <v>435.28</v>
      </c>
      <c r="J271" s="64">
        <v>68.42</v>
      </c>
    </row>
    <row r="272" spans="1:10">
      <c r="A272" s="64" t="s">
        <v>299</v>
      </c>
      <c r="B272" s="64" t="s">
        <v>48</v>
      </c>
      <c r="C272" s="64" t="s">
        <v>31</v>
      </c>
      <c r="D272" s="64" t="s">
        <v>27</v>
      </c>
      <c r="E272" s="64" t="s">
        <v>24</v>
      </c>
      <c r="F272" s="64" t="s">
        <v>15</v>
      </c>
      <c r="G272" s="64">
        <v>45197</v>
      </c>
      <c r="H272" s="64">
        <v>81</v>
      </c>
      <c r="I272" s="64">
        <v>239.08</v>
      </c>
      <c r="J272" s="64">
        <v>74.17</v>
      </c>
    </row>
    <row r="273" spans="1:10">
      <c r="A273" s="64" t="s">
        <v>300</v>
      </c>
      <c r="B273" s="64" t="s">
        <v>17</v>
      </c>
      <c r="C273" s="64" t="s">
        <v>12</v>
      </c>
      <c r="D273" s="64" t="s">
        <v>23</v>
      </c>
      <c r="E273" s="64" t="s">
        <v>24</v>
      </c>
      <c r="F273" s="64" t="s">
        <v>15</v>
      </c>
      <c r="G273" s="64">
        <v>45198</v>
      </c>
      <c r="H273" s="64">
        <v>404</v>
      </c>
      <c r="I273" s="64">
        <v>270</v>
      </c>
      <c r="J273" s="64">
        <v>156.29</v>
      </c>
    </row>
    <row r="274" spans="1:10">
      <c r="A274" s="64" t="s">
        <v>301</v>
      </c>
      <c r="B274" s="64" t="s">
        <v>17</v>
      </c>
      <c r="C274" s="64" t="s">
        <v>26</v>
      </c>
      <c r="D274" s="64" t="s">
        <v>23</v>
      </c>
      <c r="E274" s="64" t="s">
        <v>24</v>
      </c>
      <c r="F274" s="64" t="s">
        <v>15</v>
      </c>
      <c r="G274" s="64">
        <v>45199</v>
      </c>
      <c r="H274" s="64">
        <v>73</v>
      </c>
      <c r="I274" s="64">
        <v>93.33</v>
      </c>
      <c r="J274" s="64">
        <v>162.13</v>
      </c>
    </row>
    <row r="275" spans="1:10">
      <c r="A275" s="64" t="s">
        <v>302</v>
      </c>
      <c r="B275" s="64" t="s">
        <v>17</v>
      </c>
      <c r="C275" s="64" t="s">
        <v>18</v>
      </c>
      <c r="D275" s="64" t="s">
        <v>13</v>
      </c>
      <c r="E275" s="64" t="s">
        <v>14</v>
      </c>
      <c r="F275" s="64" t="s">
        <v>28</v>
      </c>
      <c r="G275" s="64">
        <v>45200</v>
      </c>
      <c r="H275" s="64">
        <v>214</v>
      </c>
      <c r="I275" s="64">
        <v>159.57</v>
      </c>
      <c r="J275" s="64">
        <v>349.96</v>
      </c>
    </row>
    <row r="276" spans="1:10">
      <c r="A276" s="64" t="s">
        <v>303</v>
      </c>
      <c r="B276" s="64" t="s">
        <v>22</v>
      </c>
      <c r="C276" s="64" t="s">
        <v>50</v>
      </c>
      <c r="D276" s="64" t="s">
        <v>13</v>
      </c>
      <c r="E276" s="64" t="s">
        <v>24</v>
      </c>
      <c r="F276" s="64" t="s">
        <v>20</v>
      </c>
      <c r="G276" s="64">
        <v>45201</v>
      </c>
      <c r="H276" s="64">
        <v>218</v>
      </c>
      <c r="I276" s="64">
        <v>118.97</v>
      </c>
      <c r="J276" s="64">
        <v>205.02</v>
      </c>
    </row>
    <row r="277" spans="1:10">
      <c r="A277" s="64" t="s">
        <v>304</v>
      </c>
      <c r="B277" s="64" t="s">
        <v>17</v>
      </c>
      <c r="C277" s="64" t="s">
        <v>12</v>
      </c>
      <c r="D277" s="64" t="s">
        <v>42</v>
      </c>
      <c r="E277" s="64" t="s">
        <v>24</v>
      </c>
      <c r="F277" s="64" t="s">
        <v>15</v>
      </c>
      <c r="G277" s="64">
        <v>45202</v>
      </c>
      <c r="H277" s="64">
        <v>81</v>
      </c>
      <c r="I277" s="64">
        <v>107.06</v>
      </c>
      <c r="J277" s="64">
        <v>289.92</v>
      </c>
    </row>
    <row r="278" spans="1:10">
      <c r="A278" s="64" t="s">
        <v>305</v>
      </c>
      <c r="B278" s="64" t="s">
        <v>22</v>
      </c>
      <c r="C278" s="64" t="s">
        <v>18</v>
      </c>
      <c r="D278" s="64" t="s">
        <v>42</v>
      </c>
      <c r="E278" s="64" t="s">
        <v>24</v>
      </c>
      <c r="F278" s="64" t="s">
        <v>20</v>
      </c>
      <c r="G278" s="64">
        <v>45203</v>
      </c>
      <c r="H278" s="64">
        <v>286</v>
      </c>
      <c r="I278" s="64">
        <v>320.79000000000002</v>
      </c>
      <c r="J278" s="64">
        <v>43.45</v>
      </c>
    </row>
    <row r="279" spans="1:10">
      <c r="A279" s="64" t="s">
        <v>306</v>
      </c>
      <c r="B279" s="64" t="s">
        <v>48</v>
      </c>
      <c r="C279" s="64" t="s">
        <v>50</v>
      </c>
      <c r="D279" s="64" t="s">
        <v>13</v>
      </c>
      <c r="E279" s="64" t="s">
        <v>14</v>
      </c>
      <c r="F279" s="64" t="s">
        <v>15</v>
      </c>
      <c r="G279" s="64">
        <v>45204</v>
      </c>
      <c r="H279" s="64">
        <v>283</v>
      </c>
      <c r="I279" s="64">
        <v>132.16</v>
      </c>
      <c r="J279" s="64">
        <v>91.72</v>
      </c>
    </row>
    <row r="280" spans="1:10">
      <c r="A280" s="64" t="s">
        <v>307</v>
      </c>
      <c r="B280" s="64" t="s">
        <v>22</v>
      </c>
      <c r="C280" s="64" t="s">
        <v>18</v>
      </c>
      <c r="D280" s="64" t="s">
        <v>13</v>
      </c>
      <c r="E280" s="64" t="s">
        <v>14</v>
      </c>
      <c r="F280" s="64" t="s">
        <v>15</v>
      </c>
      <c r="G280" s="64">
        <v>45205</v>
      </c>
      <c r="H280" s="64">
        <v>487</v>
      </c>
      <c r="I280" s="64">
        <v>317.85000000000002</v>
      </c>
      <c r="J280" s="64">
        <v>281.77</v>
      </c>
    </row>
    <row r="281" spans="1:10">
      <c r="A281" s="64" t="s">
        <v>308</v>
      </c>
      <c r="B281" s="64" t="s">
        <v>48</v>
      </c>
      <c r="C281" s="64" t="s">
        <v>31</v>
      </c>
      <c r="D281" s="64" t="s">
        <v>19</v>
      </c>
      <c r="E281" s="64" t="s">
        <v>24</v>
      </c>
      <c r="F281" s="64" t="s">
        <v>20</v>
      </c>
      <c r="G281" s="64">
        <v>45206</v>
      </c>
      <c r="H281" s="64">
        <v>329</v>
      </c>
      <c r="I281" s="64">
        <v>33.94</v>
      </c>
      <c r="J281" s="64">
        <v>23.02</v>
      </c>
    </row>
    <row r="282" spans="1:10">
      <c r="A282" s="64" t="s">
        <v>309</v>
      </c>
      <c r="B282" s="64" t="s">
        <v>17</v>
      </c>
      <c r="C282" s="64" t="s">
        <v>18</v>
      </c>
      <c r="D282" s="64" t="s">
        <v>23</v>
      </c>
      <c r="E282" s="64" t="s">
        <v>14</v>
      </c>
      <c r="F282" s="64" t="s">
        <v>28</v>
      </c>
      <c r="G282" s="64">
        <v>45207</v>
      </c>
      <c r="H282" s="64">
        <v>347</v>
      </c>
      <c r="I282" s="64">
        <v>75.180000000000007</v>
      </c>
      <c r="J282" s="64">
        <v>195.67</v>
      </c>
    </row>
    <row r="283" spans="1:10">
      <c r="A283" s="64" t="s">
        <v>310</v>
      </c>
      <c r="B283" s="64" t="s">
        <v>17</v>
      </c>
      <c r="C283" s="64" t="s">
        <v>18</v>
      </c>
      <c r="D283" s="64" t="s">
        <v>42</v>
      </c>
      <c r="E283" s="64" t="s">
        <v>24</v>
      </c>
      <c r="F283" s="64" t="s">
        <v>15</v>
      </c>
      <c r="G283" s="64">
        <v>45208</v>
      </c>
      <c r="H283" s="64">
        <v>375</v>
      </c>
      <c r="I283" s="64">
        <v>140.9</v>
      </c>
      <c r="J283" s="64">
        <v>240.55</v>
      </c>
    </row>
    <row r="284" spans="1:10">
      <c r="A284" s="64" t="s">
        <v>311</v>
      </c>
      <c r="B284" s="64" t="s">
        <v>48</v>
      </c>
      <c r="C284" s="64" t="s">
        <v>18</v>
      </c>
      <c r="D284" s="64" t="s">
        <v>23</v>
      </c>
      <c r="E284" s="64" t="s">
        <v>14</v>
      </c>
      <c r="F284" s="64" t="s">
        <v>15</v>
      </c>
      <c r="G284" s="64">
        <v>45209</v>
      </c>
      <c r="H284" s="64">
        <v>104</v>
      </c>
      <c r="I284" s="64">
        <v>300.54000000000002</v>
      </c>
      <c r="J284" s="64">
        <v>241.65</v>
      </c>
    </row>
    <row r="285" spans="1:10">
      <c r="A285" s="64" t="s">
        <v>312</v>
      </c>
      <c r="B285" s="64" t="s">
        <v>11</v>
      </c>
      <c r="C285" s="64" t="s">
        <v>12</v>
      </c>
      <c r="D285" s="64" t="s">
        <v>13</v>
      </c>
      <c r="E285" s="64" t="s">
        <v>14</v>
      </c>
      <c r="F285" s="64" t="s">
        <v>15</v>
      </c>
      <c r="G285" s="64">
        <v>45210</v>
      </c>
      <c r="H285" s="64">
        <v>175</v>
      </c>
      <c r="I285" s="64">
        <v>339.54</v>
      </c>
      <c r="J285" s="64">
        <v>11.13</v>
      </c>
    </row>
    <row r="286" spans="1:10">
      <c r="A286" s="64" t="s">
        <v>313</v>
      </c>
      <c r="B286" s="64" t="s">
        <v>48</v>
      </c>
      <c r="C286" s="64" t="s">
        <v>18</v>
      </c>
      <c r="D286" s="64" t="s">
        <v>13</v>
      </c>
      <c r="E286" s="64" t="s">
        <v>14</v>
      </c>
      <c r="F286" s="64" t="s">
        <v>20</v>
      </c>
      <c r="G286" s="64">
        <v>45211</v>
      </c>
      <c r="H286" s="64">
        <v>41</v>
      </c>
      <c r="I286" s="64">
        <v>224.14</v>
      </c>
      <c r="J286" s="64">
        <v>130.19999999999999</v>
      </c>
    </row>
    <row r="287" spans="1:10">
      <c r="A287" s="64" t="s">
        <v>314</v>
      </c>
      <c r="B287" s="64" t="s">
        <v>11</v>
      </c>
      <c r="C287" s="64" t="s">
        <v>50</v>
      </c>
      <c r="D287" s="64" t="s">
        <v>19</v>
      </c>
      <c r="E287" s="64" t="s">
        <v>14</v>
      </c>
      <c r="F287" s="64" t="s">
        <v>28</v>
      </c>
      <c r="G287" s="64">
        <v>45212</v>
      </c>
      <c r="H287" s="64">
        <v>20</v>
      </c>
      <c r="I287" s="64">
        <v>225.67</v>
      </c>
      <c r="J287" s="64">
        <v>255.32</v>
      </c>
    </row>
    <row r="288" spans="1:10">
      <c r="A288" s="64" t="s">
        <v>315</v>
      </c>
      <c r="B288" s="64" t="s">
        <v>22</v>
      </c>
      <c r="C288" s="64" t="s">
        <v>31</v>
      </c>
      <c r="D288" s="64" t="s">
        <v>27</v>
      </c>
      <c r="E288" s="64" t="s">
        <v>24</v>
      </c>
      <c r="F288" s="64" t="s">
        <v>20</v>
      </c>
      <c r="G288" s="64">
        <v>45213</v>
      </c>
      <c r="H288" s="64">
        <v>310</v>
      </c>
      <c r="I288" s="64">
        <v>363.64</v>
      </c>
      <c r="J288" s="64">
        <v>61.3</v>
      </c>
    </row>
    <row r="289" spans="1:10">
      <c r="A289" s="64" t="s">
        <v>316</v>
      </c>
      <c r="B289" s="64" t="s">
        <v>22</v>
      </c>
      <c r="C289" s="64" t="s">
        <v>31</v>
      </c>
      <c r="D289" s="64" t="s">
        <v>19</v>
      </c>
      <c r="E289" s="64" t="s">
        <v>24</v>
      </c>
      <c r="F289" s="64" t="s">
        <v>20</v>
      </c>
      <c r="G289" s="64">
        <v>45214</v>
      </c>
      <c r="H289" s="64">
        <v>226</v>
      </c>
      <c r="J289" s="64">
        <v>278.77999999999997</v>
      </c>
    </row>
    <row r="290" spans="1:10">
      <c r="A290" s="64" t="s">
        <v>317</v>
      </c>
      <c r="B290" s="64" t="s">
        <v>22</v>
      </c>
      <c r="C290" s="64" t="s">
        <v>18</v>
      </c>
      <c r="D290" s="64" t="s">
        <v>19</v>
      </c>
      <c r="E290" s="64" t="s">
        <v>24</v>
      </c>
      <c r="F290" s="64" t="s">
        <v>28</v>
      </c>
      <c r="G290" s="64">
        <v>45215</v>
      </c>
      <c r="I290" s="64">
        <v>173.84</v>
      </c>
      <c r="J290" s="64">
        <v>298.88</v>
      </c>
    </row>
    <row r="291" spans="1:10">
      <c r="A291" s="64" t="s">
        <v>318</v>
      </c>
      <c r="B291" s="64" t="s">
        <v>17</v>
      </c>
      <c r="C291" s="64" t="s">
        <v>12</v>
      </c>
      <c r="D291" s="64" t="s">
        <v>23</v>
      </c>
      <c r="E291" s="64" t="s">
        <v>14</v>
      </c>
      <c r="F291" s="64" t="s">
        <v>20</v>
      </c>
      <c r="G291" s="64">
        <v>45216</v>
      </c>
      <c r="H291" s="64">
        <v>111</v>
      </c>
      <c r="I291" s="64">
        <v>410.26</v>
      </c>
      <c r="J291" s="64">
        <v>392.82</v>
      </c>
    </row>
    <row r="292" spans="1:10">
      <c r="A292" s="64" t="s">
        <v>319</v>
      </c>
      <c r="B292" s="64" t="s">
        <v>22</v>
      </c>
      <c r="C292" s="64" t="s">
        <v>12</v>
      </c>
      <c r="D292" s="64" t="s">
        <v>19</v>
      </c>
      <c r="E292" s="64" t="s">
        <v>24</v>
      </c>
      <c r="F292" s="64" t="s">
        <v>28</v>
      </c>
      <c r="G292" s="64">
        <v>45217</v>
      </c>
      <c r="H292" s="64">
        <v>434</v>
      </c>
      <c r="I292" s="64">
        <v>303.58999999999997</v>
      </c>
      <c r="J292" s="64">
        <v>85.52</v>
      </c>
    </row>
    <row r="293" spans="1:10">
      <c r="A293" s="64" t="s">
        <v>320</v>
      </c>
      <c r="B293" s="64" t="s">
        <v>11</v>
      </c>
      <c r="C293" s="64" t="s">
        <v>50</v>
      </c>
      <c r="D293" s="64" t="s">
        <v>42</v>
      </c>
      <c r="E293" s="64" t="s">
        <v>24</v>
      </c>
      <c r="F293" s="64" t="s">
        <v>15</v>
      </c>
      <c r="G293" s="64">
        <v>45218</v>
      </c>
      <c r="H293" s="64">
        <v>401</v>
      </c>
      <c r="I293" s="64">
        <v>171.93</v>
      </c>
      <c r="J293" s="64">
        <v>330.4</v>
      </c>
    </row>
    <row r="294" spans="1:10">
      <c r="A294" s="64" t="s">
        <v>321</v>
      </c>
      <c r="B294" s="64" t="s">
        <v>22</v>
      </c>
      <c r="C294" s="64" t="s">
        <v>18</v>
      </c>
      <c r="D294" s="64" t="s">
        <v>23</v>
      </c>
      <c r="E294" s="64" t="s">
        <v>24</v>
      </c>
      <c r="F294" s="64" t="s">
        <v>28</v>
      </c>
      <c r="G294" s="64">
        <v>45219</v>
      </c>
      <c r="H294" s="64">
        <v>276</v>
      </c>
      <c r="I294" s="64">
        <v>453.23</v>
      </c>
      <c r="J294" s="64">
        <v>209.08</v>
      </c>
    </row>
    <row r="295" spans="1:10">
      <c r="A295" s="64" t="s">
        <v>322</v>
      </c>
      <c r="B295" s="64" t="s">
        <v>48</v>
      </c>
      <c r="C295" s="64" t="s">
        <v>31</v>
      </c>
      <c r="D295" s="64" t="s">
        <v>42</v>
      </c>
      <c r="E295" s="64" t="s">
        <v>14</v>
      </c>
      <c r="F295" s="64" t="s">
        <v>15</v>
      </c>
      <c r="G295" s="64">
        <v>45220</v>
      </c>
      <c r="I295" s="64">
        <v>387.45</v>
      </c>
      <c r="J295" s="64">
        <v>150.63999999999999</v>
      </c>
    </row>
    <row r="296" spans="1:10">
      <c r="A296" s="64" t="s">
        <v>323</v>
      </c>
      <c r="B296" s="64" t="s">
        <v>48</v>
      </c>
      <c r="C296" s="64" t="s">
        <v>12</v>
      </c>
      <c r="D296" s="64" t="s">
        <v>27</v>
      </c>
      <c r="E296" s="64" t="s">
        <v>14</v>
      </c>
      <c r="F296" s="64" t="s">
        <v>20</v>
      </c>
      <c r="G296" s="64">
        <v>45221</v>
      </c>
      <c r="H296" s="64">
        <v>188</v>
      </c>
      <c r="I296" s="64">
        <v>136.12</v>
      </c>
      <c r="J296" s="64">
        <v>50.71</v>
      </c>
    </row>
    <row r="297" spans="1:10">
      <c r="A297" s="64" t="s">
        <v>324</v>
      </c>
      <c r="B297" s="64" t="s">
        <v>17</v>
      </c>
      <c r="C297" s="64" t="s">
        <v>18</v>
      </c>
      <c r="D297" s="64" t="s">
        <v>23</v>
      </c>
      <c r="E297" s="64" t="s">
        <v>14</v>
      </c>
      <c r="F297" s="64" t="s">
        <v>20</v>
      </c>
      <c r="G297" s="64">
        <v>45222</v>
      </c>
      <c r="H297" s="64">
        <v>97</v>
      </c>
      <c r="I297" s="64">
        <v>324.42</v>
      </c>
      <c r="J297" s="64">
        <v>294.73</v>
      </c>
    </row>
    <row r="298" spans="1:10">
      <c r="A298" s="64" t="s">
        <v>325</v>
      </c>
      <c r="B298" s="64" t="s">
        <v>48</v>
      </c>
      <c r="C298" s="64" t="s">
        <v>12</v>
      </c>
      <c r="D298" s="64" t="s">
        <v>27</v>
      </c>
      <c r="E298" s="64" t="s">
        <v>24</v>
      </c>
      <c r="F298" s="64" t="s">
        <v>15</v>
      </c>
      <c r="G298" s="64">
        <v>45223</v>
      </c>
      <c r="H298" s="64">
        <v>50</v>
      </c>
      <c r="I298" s="64">
        <v>299.89999999999998</v>
      </c>
      <c r="J298" s="64">
        <v>95.87</v>
      </c>
    </row>
    <row r="299" spans="1:10">
      <c r="A299" s="64" t="s">
        <v>326</v>
      </c>
      <c r="B299" s="64" t="s">
        <v>11</v>
      </c>
      <c r="C299" s="64" t="s">
        <v>12</v>
      </c>
      <c r="D299" s="64" t="s">
        <v>23</v>
      </c>
      <c r="E299" s="64" t="s">
        <v>24</v>
      </c>
      <c r="F299" s="64" t="s">
        <v>20</v>
      </c>
      <c r="G299" s="64">
        <v>45224</v>
      </c>
      <c r="H299" s="64">
        <v>410</v>
      </c>
      <c r="I299" s="64">
        <v>203.59</v>
      </c>
      <c r="J299" s="64">
        <v>149.83000000000001</v>
      </c>
    </row>
    <row r="300" spans="1:10">
      <c r="A300" s="64" t="s">
        <v>327</v>
      </c>
      <c r="B300" s="64" t="s">
        <v>22</v>
      </c>
      <c r="C300" s="64" t="s">
        <v>31</v>
      </c>
      <c r="D300" s="64" t="s">
        <v>13</v>
      </c>
      <c r="E300" s="64" t="s">
        <v>24</v>
      </c>
      <c r="F300" s="64" t="s">
        <v>28</v>
      </c>
      <c r="G300" s="64">
        <v>45225</v>
      </c>
      <c r="H300" s="64">
        <v>85</v>
      </c>
      <c r="I300" s="64">
        <v>186.64</v>
      </c>
      <c r="J300" s="64">
        <v>26.89</v>
      </c>
    </row>
    <row r="301" spans="1:10">
      <c r="A301" s="64" t="s">
        <v>328</v>
      </c>
      <c r="B301" s="64" t="s">
        <v>17</v>
      </c>
      <c r="C301" s="64" t="s">
        <v>26</v>
      </c>
      <c r="D301" s="64" t="s">
        <v>19</v>
      </c>
      <c r="E301" s="64" t="s">
        <v>14</v>
      </c>
      <c r="F301" s="64" t="s">
        <v>15</v>
      </c>
      <c r="G301" s="64">
        <v>45226</v>
      </c>
      <c r="H301" s="64">
        <v>386</v>
      </c>
      <c r="I301" s="64">
        <v>175.06</v>
      </c>
      <c r="J301" s="64">
        <v>320.94</v>
      </c>
    </row>
    <row r="302" spans="1:10">
      <c r="A302" s="64" t="s">
        <v>329</v>
      </c>
      <c r="B302" s="64" t="s">
        <v>22</v>
      </c>
      <c r="C302" s="64" t="s">
        <v>50</v>
      </c>
      <c r="D302" s="64" t="s">
        <v>13</v>
      </c>
      <c r="E302" s="64" t="s">
        <v>14</v>
      </c>
      <c r="F302" s="64" t="s">
        <v>20</v>
      </c>
      <c r="G302" s="64">
        <v>45227</v>
      </c>
      <c r="H302" s="64">
        <v>55</v>
      </c>
      <c r="I302" s="64">
        <v>310.49</v>
      </c>
      <c r="J302" s="64">
        <v>307.10000000000002</v>
      </c>
    </row>
    <row r="303" spans="1:10">
      <c r="A303" s="64" t="s">
        <v>330</v>
      </c>
      <c r="B303" s="64" t="s">
        <v>22</v>
      </c>
      <c r="C303" s="64" t="s">
        <v>50</v>
      </c>
      <c r="D303" s="64" t="s">
        <v>27</v>
      </c>
      <c r="E303" s="64" t="s">
        <v>24</v>
      </c>
      <c r="F303" s="64" t="s">
        <v>15</v>
      </c>
      <c r="G303" s="64">
        <v>45228</v>
      </c>
      <c r="H303" s="64">
        <v>169</v>
      </c>
      <c r="I303" s="64">
        <v>223.99</v>
      </c>
      <c r="J303" s="64">
        <v>293.98</v>
      </c>
    </row>
    <row r="304" spans="1:10">
      <c r="A304" s="64" t="s">
        <v>331</v>
      </c>
      <c r="B304" s="64" t="s">
        <v>11</v>
      </c>
      <c r="C304" s="64" t="s">
        <v>31</v>
      </c>
      <c r="D304" s="64" t="s">
        <v>19</v>
      </c>
      <c r="E304" s="64" t="s">
        <v>14</v>
      </c>
      <c r="F304" s="64" t="s">
        <v>28</v>
      </c>
      <c r="G304" s="64">
        <v>45229</v>
      </c>
      <c r="H304" s="64">
        <v>472</v>
      </c>
      <c r="I304" s="64">
        <v>416.77</v>
      </c>
      <c r="J304" s="64">
        <v>121.18</v>
      </c>
    </row>
    <row r="305" spans="1:10">
      <c r="A305" s="64" t="s">
        <v>332</v>
      </c>
      <c r="B305" s="64" t="s">
        <v>48</v>
      </c>
      <c r="C305" s="64" t="s">
        <v>12</v>
      </c>
      <c r="D305" s="64" t="s">
        <v>23</v>
      </c>
      <c r="E305" s="64" t="s">
        <v>14</v>
      </c>
      <c r="F305" s="64" t="s">
        <v>28</v>
      </c>
      <c r="G305" s="64">
        <v>45230</v>
      </c>
      <c r="H305" s="64">
        <v>89</v>
      </c>
      <c r="I305" s="64">
        <v>336.45</v>
      </c>
      <c r="J305" s="64">
        <v>71.05</v>
      </c>
    </row>
    <row r="306" spans="1:10">
      <c r="A306" s="64" t="s">
        <v>333</v>
      </c>
      <c r="B306" s="64" t="s">
        <v>48</v>
      </c>
      <c r="C306" s="64" t="s">
        <v>18</v>
      </c>
      <c r="D306" s="64" t="s">
        <v>19</v>
      </c>
      <c r="E306" s="64" t="s">
        <v>14</v>
      </c>
      <c r="F306" s="64" t="s">
        <v>20</v>
      </c>
      <c r="G306" s="64">
        <v>45231</v>
      </c>
      <c r="H306" s="64">
        <v>319</v>
      </c>
      <c r="I306" s="64">
        <v>39.619999999999997</v>
      </c>
      <c r="J306" s="64">
        <v>255.75</v>
      </c>
    </row>
    <row r="307" spans="1:10">
      <c r="A307" s="64" t="s">
        <v>334</v>
      </c>
      <c r="B307" s="64" t="s">
        <v>22</v>
      </c>
      <c r="C307" s="64" t="s">
        <v>12</v>
      </c>
      <c r="D307" s="64" t="s">
        <v>13</v>
      </c>
      <c r="E307" s="64" t="s">
        <v>14</v>
      </c>
      <c r="F307" s="64" t="s">
        <v>28</v>
      </c>
      <c r="G307" s="64">
        <v>45232</v>
      </c>
      <c r="H307" s="64">
        <v>95</v>
      </c>
      <c r="I307" s="64">
        <v>321.88</v>
      </c>
      <c r="J307" s="64">
        <v>199.47</v>
      </c>
    </row>
    <row r="308" spans="1:10">
      <c r="A308" s="64" t="s">
        <v>335</v>
      </c>
      <c r="B308" s="64" t="s">
        <v>17</v>
      </c>
      <c r="C308" s="64" t="s">
        <v>31</v>
      </c>
      <c r="D308" s="64" t="s">
        <v>13</v>
      </c>
      <c r="E308" s="64" t="s">
        <v>24</v>
      </c>
      <c r="F308" s="64" t="s">
        <v>15</v>
      </c>
      <c r="G308" s="64">
        <v>45233</v>
      </c>
      <c r="H308" s="64">
        <v>101</v>
      </c>
      <c r="I308" s="64">
        <v>139.22</v>
      </c>
      <c r="J308" s="64">
        <v>72.94</v>
      </c>
    </row>
    <row r="309" spans="1:10">
      <c r="A309" s="64" t="s">
        <v>336</v>
      </c>
      <c r="B309" s="64" t="s">
        <v>48</v>
      </c>
      <c r="C309" s="64" t="s">
        <v>50</v>
      </c>
      <c r="D309" s="64" t="s">
        <v>13</v>
      </c>
      <c r="E309" s="64" t="s">
        <v>14</v>
      </c>
      <c r="F309" s="64" t="s">
        <v>28</v>
      </c>
      <c r="G309" s="64">
        <v>45234</v>
      </c>
      <c r="H309" s="64">
        <v>157</v>
      </c>
      <c r="J309" s="64">
        <v>274.99</v>
      </c>
    </row>
    <row r="310" spans="1:10">
      <c r="A310" s="64" t="s">
        <v>337</v>
      </c>
      <c r="B310" s="64" t="s">
        <v>17</v>
      </c>
      <c r="C310" s="64" t="s">
        <v>12</v>
      </c>
      <c r="D310" s="64" t="s">
        <v>19</v>
      </c>
      <c r="E310" s="64" t="s">
        <v>14</v>
      </c>
      <c r="F310" s="64" t="s">
        <v>15</v>
      </c>
      <c r="G310" s="64">
        <v>45235</v>
      </c>
      <c r="H310" s="64">
        <v>170</v>
      </c>
      <c r="I310" s="64">
        <v>341.67</v>
      </c>
      <c r="J310" s="64">
        <v>396.47</v>
      </c>
    </row>
    <row r="311" spans="1:10">
      <c r="A311" s="64" t="s">
        <v>338</v>
      </c>
      <c r="B311" s="64" t="s">
        <v>48</v>
      </c>
      <c r="C311" s="64" t="s">
        <v>50</v>
      </c>
      <c r="D311" s="64" t="s">
        <v>42</v>
      </c>
      <c r="E311" s="64" t="s">
        <v>14</v>
      </c>
      <c r="F311" s="64" t="s">
        <v>15</v>
      </c>
      <c r="G311" s="64">
        <v>45236</v>
      </c>
      <c r="H311" s="64">
        <v>211</v>
      </c>
      <c r="I311" s="64">
        <v>119.26</v>
      </c>
      <c r="J311" s="64">
        <v>299.39</v>
      </c>
    </row>
    <row r="312" spans="1:10">
      <c r="A312" s="64" t="s">
        <v>339</v>
      </c>
      <c r="B312" s="64" t="s">
        <v>17</v>
      </c>
      <c r="C312" s="64" t="s">
        <v>18</v>
      </c>
      <c r="D312" s="64" t="s">
        <v>27</v>
      </c>
      <c r="E312" s="64" t="s">
        <v>14</v>
      </c>
      <c r="F312" s="64" t="s">
        <v>28</v>
      </c>
      <c r="G312" s="64">
        <v>45237</v>
      </c>
      <c r="H312" s="64">
        <v>433</v>
      </c>
      <c r="I312" s="64">
        <v>231.15</v>
      </c>
      <c r="J312" s="64">
        <v>296.51</v>
      </c>
    </row>
    <row r="313" spans="1:10">
      <c r="A313" s="64" t="s">
        <v>340</v>
      </c>
      <c r="B313" s="64" t="s">
        <v>11</v>
      </c>
      <c r="C313" s="64" t="s">
        <v>50</v>
      </c>
      <c r="D313" s="64" t="s">
        <v>13</v>
      </c>
      <c r="E313" s="64" t="s">
        <v>24</v>
      </c>
      <c r="F313" s="64" t="s">
        <v>20</v>
      </c>
      <c r="G313" s="64">
        <v>45238</v>
      </c>
      <c r="H313" s="64">
        <v>425</v>
      </c>
      <c r="I313" s="64">
        <v>99.21</v>
      </c>
      <c r="J313" s="64">
        <v>380.22</v>
      </c>
    </row>
    <row r="314" spans="1:10">
      <c r="A314" s="64" t="s">
        <v>341</v>
      </c>
      <c r="B314" s="64" t="s">
        <v>17</v>
      </c>
      <c r="C314" s="64" t="s">
        <v>50</v>
      </c>
      <c r="D314" s="64" t="s">
        <v>23</v>
      </c>
      <c r="E314" s="64" t="s">
        <v>24</v>
      </c>
      <c r="F314" s="64" t="s">
        <v>28</v>
      </c>
      <c r="G314" s="64">
        <v>45239</v>
      </c>
      <c r="H314" s="64">
        <v>251</v>
      </c>
      <c r="I314" s="64">
        <v>30.91</v>
      </c>
      <c r="J314" s="64">
        <v>82.77</v>
      </c>
    </row>
    <row r="315" spans="1:10">
      <c r="A315" s="64" t="s">
        <v>342</v>
      </c>
      <c r="B315" s="64" t="s">
        <v>11</v>
      </c>
      <c r="C315" s="64" t="s">
        <v>26</v>
      </c>
      <c r="D315" s="64" t="s">
        <v>19</v>
      </c>
      <c r="E315" s="64" t="s">
        <v>14</v>
      </c>
      <c r="F315" s="64" t="s">
        <v>15</v>
      </c>
      <c r="G315" s="64">
        <v>45240</v>
      </c>
      <c r="I315" s="64">
        <v>192.35</v>
      </c>
      <c r="J315" s="64">
        <v>227.09</v>
      </c>
    </row>
    <row r="316" spans="1:10">
      <c r="A316" s="64" t="s">
        <v>343</v>
      </c>
      <c r="B316" s="64" t="s">
        <v>11</v>
      </c>
      <c r="C316" s="64" t="s">
        <v>26</v>
      </c>
      <c r="D316" s="64" t="s">
        <v>13</v>
      </c>
      <c r="E316" s="64" t="s">
        <v>14</v>
      </c>
      <c r="F316" s="64" t="s">
        <v>15</v>
      </c>
      <c r="G316" s="64">
        <v>45241</v>
      </c>
      <c r="H316" s="64">
        <v>11</v>
      </c>
      <c r="I316" s="64">
        <v>184.66</v>
      </c>
      <c r="J316" s="64">
        <v>391.9</v>
      </c>
    </row>
    <row r="317" spans="1:10">
      <c r="A317" s="64" t="s">
        <v>344</v>
      </c>
      <c r="B317" s="64" t="s">
        <v>17</v>
      </c>
      <c r="C317" s="64" t="s">
        <v>26</v>
      </c>
      <c r="D317" s="64" t="s">
        <v>23</v>
      </c>
      <c r="E317" s="64" t="s">
        <v>14</v>
      </c>
      <c r="F317" s="64" t="s">
        <v>28</v>
      </c>
      <c r="G317" s="64">
        <v>45242</v>
      </c>
      <c r="H317" s="64">
        <v>234</v>
      </c>
      <c r="I317" s="64">
        <v>497.76</v>
      </c>
      <c r="J317" s="64">
        <v>67.790000000000006</v>
      </c>
    </row>
    <row r="318" spans="1:10">
      <c r="A318" s="64" t="s">
        <v>345</v>
      </c>
      <c r="B318" s="64" t="s">
        <v>11</v>
      </c>
      <c r="C318" s="64" t="s">
        <v>50</v>
      </c>
      <c r="D318" s="64" t="s">
        <v>23</v>
      </c>
      <c r="E318" s="64" t="s">
        <v>14</v>
      </c>
      <c r="F318" s="64" t="s">
        <v>20</v>
      </c>
      <c r="G318" s="64">
        <v>45243</v>
      </c>
      <c r="I318" s="64">
        <v>225.94</v>
      </c>
      <c r="J318" s="64">
        <v>280.7</v>
      </c>
    </row>
    <row r="319" spans="1:10">
      <c r="A319" s="64" t="s">
        <v>346</v>
      </c>
      <c r="B319" s="64" t="s">
        <v>22</v>
      </c>
      <c r="C319" s="64" t="s">
        <v>31</v>
      </c>
      <c r="D319" s="64" t="s">
        <v>42</v>
      </c>
      <c r="E319" s="64" t="s">
        <v>14</v>
      </c>
      <c r="F319" s="64" t="s">
        <v>20</v>
      </c>
      <c r="G319" s="64">
        <v>45244</v>
      </c>
      <c r="H319" s="64">
        <v>242</v>
      </c>
      <c r="I319" s="64">
        <v>170.12</v>
      </c>
      <c r="J319" s="64">
        <v>235.15</v>
      </c>
    </row>
    <row r="320" spans="1:10">
      <c r="A320" s="64" t="s">
        <v>347</v>
      </c>
      <c r="B320" s="64" t="s">
        <v>11</v>
      </c>
      <c r="C320" s="64" t="s">
        <v>50</v>
      </c>
      <c r="D320" s="64" t="s">
        <v>27</v>
      </c>
      <c r="E320" s="64" t="s">
        <v>14</v>
      </c>
      <c r="F320" s="64" t="s">
        <v>15</v>
      </c>
      <c r="G320" s="64">
        <v>45245</v>
      </c>
      <c r="H320" s="64">
        <v>470</v>
      </c>
      <c r="I320" s="64">
        <v>292.33999999999997</v>
      </c>
      <c r="J320" s="64">
        <v>235.42</v>
      </c>
    </row>
    <row r="321" spans="1:10">
      <c r="A321" s="64" t="s">
        <v>348</v>
      </c>
      <c r="B321" s="64" t="s">
        <v>48</v>
      </c>
      <c r="C321" s="64" t="s">
        <v>31</v>
      </c>
      <c r="D321" s="64" t="s">
        <v>27</v>
      </c>
      <c r="E321" s="64" t="s">
        <v>24</v>
      </c>
      <c r="F321" s="64" t="s">
        <v>15</v>
      </c>
      <c r="G321" s="64">
        <v>45246</v>
      </c>
      <c r="H321" s="64">
        <v>423</v>
      </c>
      <c r="I321" s="64">
        <v>48.94</v>
      </c>
      <c r="J321" s="64">
        <v>279.67</v>
      </c>
    </row>
    <row r="322" spans="1:10">
      <c r="A322" s="64" t="s">
        <v>349</v>
      </c>
      <c r="B322" s="64" t="s">
        <v>17</v>
      </c>
      <c r="C322" s="64" t="s">
        <v>31</v>
      </c>
      <c r="D322" s="64" t="s">
        <v>13</v>
      </c>
      <c r="E322" s="64" t="s">
        <v>14</v>
      </c>
      <c r="F322" s="64" t="s">
        <v>20</v>
      </c>
      <c r="G322" s="64">
        <v>45247</v>
      </c>
      <c r="H322" s="64">
        <v>426</v>
      </c>
      <c r="I322" s="64">
        <v>481.02</v>
      </c>
      <c r="J322" s="64">
        <v>371.99</v>
      </c>
    </row>
    <row r="323" spans="1:10">
      <c r="A323" s="64" t="s">
        <v>350</v>
      </c>
      <c r="B323" s="64" t="s">
        <v>22</v>
      </c>
      <c r="C323" s="64" t="s">
        <v>26</v>
      </c>
      <c r="D323" s="64" t="s">
        <v>27</v>
      </c>
      <c r="E323" s="64" t="s">
        <v>24</v>
      </c>
      <c r="F323" s="64" t="s">
        <v>28</v>
      </c>
      <c r="G323" s="64">
        <v>45248</v>
      </c>
      <c r="H323" s="64">
        <v>86</v>
      </c>
      <c r="I323" s="64">
        <v>319.31</v>
      </c>
      <c r="J323" s="64">
        <v>313.47000000000003</v>
      </c>
    </row>
    <row r="324" spans="1:10">
      <c r="A324" s="64" t="s">
        <v>351</v>
      </c>
      <c r="B324" s="64" t="s">
        <v>17</v>
      </c>
      <c r="C324" s="64" t="s">
        <v>12</v>
      </c>
      <c r="D324" s="64" t="s">
        <v>19</v>
      </c>
      <c r="E324" s="64" t="s">
        <v>24</v>
      </c>
      <c r="F324" s="64" t="s">
        <v>15</v>
      </c>
      <c r="G324" s="64">
        <v>45249</v>
      </c>
      <c r="H324" s="64">
        <v>125</v>
      </c>
      <c r="I324" s="64">
        <v>378.64</v>
      </c>
      <c r="J324" s="64">
        <v>24.34</v>
      </c>
    </row>
    <row r="325" spans="1:10">
      <c r="A325" s="64" t="s">
        <v>352</v>
      </c>
      <c r="B325" s="64" t="s">
        <v>48</v>
      </c>
      <c r="C325" s="64" t="s">
        <v>18</v>
      </c>
      <c r="D325" s="64" t="s">
        <v>13</v>
      </c>
      <c r="E325" s="64" t="s">
        <v>14</v>
      </c>
      <c r="F325" s="64" t="s">
        <v>15</v>
      </c>
      <c r="G325" s="64">
        <v>45250</v>
      </c>
      <c r="H325" s="64">
        <v>163</v>
      </c>
      <c r="I325" s="64">
        <v>89.39</v>
      </c>
      <c r="J325" s="64">
        <v>341.39</v>
      </c>
    </row>
    <row r="326" spans="1:10">
      <c r="A326" s="64" t="s">
        <v>353</v>
      </c>
      <c r="B326" s="64" t="s">
        <v>48</v>
      </c>
      <c r="C326" s="64" t="s">
        <v>26</v>
      </c>
      <c r="D326" s="64" t="s">
        <v>13</v>
      </c>
      <c r="E326" s="64" t="s">
        <v>24</v>
      </c>
      <c r="F326" s="64" t="s">
        <v>20</v>
      </c>
      <c r="G326" s="64">
        <v>45251</v>
      </c>
      <c r="H326" s="64">
        <v>415</v>
      </c>
      <c r="I326" s="64">
        <v>207.69</v>
      </c>
      <c r="J326" s="64">
        <v>91.77</v>
      </c>
    </row>
    <row r="327" spans="1:10">
      <c r="A327" s="64" t="s">
        <v>354</v>
      </c>
      <c r="B327" s="64" t="s">
        <v>48</v>
      </c>
      <c r="C327" s="64" t="s">
        <v>26</v>
      </c>
      <c r="D327" s="64" t="s">
        <v>27</v>
      </c>
      <c r="E327" s="64" t="s">
        <v>24</v>
      </c>
      <c r="F327" s="64" t="s">
        <v>28</v>
      </c>
      <c r="G327" s="64">
        <v>45252</v>
      </c>
      <c r="H327" s="64">
        <v>112</v>
      </c>
      <c r="I327" s="64">
        <v>214.23</v>
      </c>
      <c r="J327" s="64">
        <v>152.01</v>
      </c>
    </row>
    <row r="328" spans="1:10">
      <c r="A328" s="64" t="s">
        <v>355</v>
      </c>
      <c r="B328" s="64" t="s">
        <v>11</v>
      </c>
      <c r="C328" s="64" t="s">
        <v>12</v>
      </c>
      <c r="D328" s="64" t="s">
        <v>19</v>
      </c>
      <c r="E328" s="64" t="s">
        <v>24</v>
      </c>
      <c r="F328" s="64" t="s">
        <v>20</v>
      </c>
      <c r="G328" s="64">
        <v>45253</v>
      </c>
      <c r="H328" s="64">
        <v>203</v>
      </c>
      <c r="I328" s="64">
        <v>411.79</v>
      </c>
      <c r="J328" s="64">
        <v>185.77</v>
      </c>
    </row>
    <row r="329" spans="1:10">
      <c r="A329" s="64" t="s">
        <v>356</v>
      </c>
      <c r="B329" s="64" t="s">
        <v>11</v>
      </c>
      <c r="C329" s="64" t="s">
        <v>18</v>
      </c>
      <c r="D329" s="64" t="s">
        <v>42</v>
      </c>
      <c r="E329" s="64" t="s">
        <v>24</v>
      </c>
      <c r="F329" s="64" t="s">
        <v>28</v>
      </c>
      <c r="G329" s="64">
        <v>45254</v>
      </c>
      <c r="I329" s="64">
        <v>5.61</v>
      </c>
      <c r="J329" s="64">
        <v>193.4</v>
      </c>
    </row>
    <row r="330" spans="1:10">
      <c r="A330" s="64" t="s">
        <v>357</v>
      </c>
      <c r="B330" s="64" t="s">
        <v>17</v>
      </c>
      <c r="C330" s="64" t="s">
        <v>50</v>
      </c>
      <c r="D330" s="64" t="s">
        <v>13</v>
      </c>
      <c r="E330" s="64" t="s">
        <v>24</v>
      </c>
      <c r="F330" s="64" t="s">
        <v>28</v>
      </c>
      <c r="G330" s="64">
        <v>45255</v>
      </c>
      <c r="H330" s="64">
        <v>368</v>
      </c>
      <c r="I330" s="64">
        <v>153.91999999999999</v>
      </c>
      <c r="J330" s="64">
        <v>175.2</v>
      </c>
    </row>
    <row r="331" spans="1:10">
      <c r="A331" s="64" t="s">
        <v>358</v>
      </c>
      <c r="B331" s="64" t="s">
        <v>17</v>
      </c>
      <c r="C331" s="64" t="s">
        <v>50</v>
      </c>
      <c r="D331" s="64" t="s">
        <v>42</v>
      </c>
      <c r="E331" s="64" t="s">
        <v>24</v>
      </c>
      <c r="F331" s="64" t="s">
        <v>28</v>
      </c>
      <c r="G331" s="64">
        <v>45256</v>
      </c>
      <c r="H331" s="64">
        <v>99</v>
      </c>
      <c r="I331" s="64">
        <v>490.71</v>
      </c>
      <c r="J331" s="64">
        <v>375.07</v>
      </c>
    </row>
    <row r="332" spans="1:10">
      <c r="A332" s="64" t="s">
        <v>359</v>
      </c>
      <c r="B332" s="64" t="s">
        <v>22</v>
      </c>
      <c r="C332" s="64" t="s">
        <v>26</v>
      </c>
      <c r="D332" s="64" t="s">
        <v>42</v>
      </c>
      <c r="E332" s="64" t="s">
        <v>14</v>
      </c>
      <c r="F332" s="64" t="s">
        <v>15</v>
      </c>
      <c r="G332" s="64">
        <v>45257</v>
      </c>
      <c r="H332" s="64">
        <v>183</v>
      </c>
      <c r="I332" s="64">
        <v>240.07</v>
      </c>
      <c r="J332" s="64">
        <v>283</v>
      </c>
    </row>
    <row r="333" spans="1:10">
      <c r="A333" s="64" t="s">
        <v>360</v>
      </c>
      <c r="B333" s="64" t="s">
        <v>17</v>
      </c>
      <c r="C333" s="64" t="s">
        <v>18</v>
      </c>
      <c r="D333" s="64" t="s">
        <v>42</v>
      </c>
      <c r="E333" s="64" t="s">
        <v>24</v>
      </c>
      <c r="F333" s="64" t="s">
        <v>20</v>
      </c>
      <c r="G333" s="64">
        <v>45258</v>
      </c>
      <c r="H333" s="64">
        <v>131</v>
      </c>
      <c r="I333" s="64">
        <v>194.35</v>
      </c>
      <c r="J333" s="64">
        <v>253.21</v>
      </c>
    </row>
    <row r="334" spans="1:10">
      <c r="A334" s="64" t="s">
        <v>361</v>
      </c>
      <c r="B334" s="64" t="s">
        <v>17</v>
      </c>
      <c r="C334" s="64" t="s">
        <v>26</v>
      </c>
      <c r="D334" s="64" t="s">
        <v>23</v>
      </c>
      <c r="E334" s="64" t="s">
        <v>24</v>
      </c>
      <c r="F334" s="64" t="s">
        <v>20</v>
      </c>
      <c r="G334" s="64">
        <v>45259</v>
      </c>
      <c r="H334" s="64">
        <v>152</v>
      </c>
      <c r="I334" s="64">
        <v>64.319999999999993</v>
      </c>
      <c r="J334" s="64">
        <v>21.84</v>
      </c>
    </row>
    <row r="335" spans="1:10">
      <c r="A335" s="64" t="s">
        <v>362</v>
      </c>
      <c r="B335" s="64" t="s">
        <v>11</v>
      </c>
      <c r="C335" s="64" t="s">
        <v>31</v>
      </c>
      <c r="D335" s="64" t="s">
        <v>23</v>
      </c>
      <c r="E335" s="64" t="s">
        <v>24</v>
      </c>
      <c r="F335" s="64" t="s">
        <v>28</v>
      </c>
      <c r="G335" s="64">
        <v>45260</v>
      </c>
      <c r="H335" s="64">
        <v>491</v>
      </c>
      <c r="I335" s="64">
        <v>487.21</v>
      </c>
      <c r="J335" s="64">
        <v>361.76</v>
      </c>
    </row>
    <row r="336" spans="1:10">
      <c r="A336" s="64" t="s">
        <v>363</v>
      </c>
      <c r="B336" s="64" t="s">
        <v>48</v>
      </c>
      <c r="C336" s="64" t="s">
        <v>26</v>
      </c>
      <c r="D336" s="64" t="s">
        <v>42</v>
      </c>
      <c r="E336" s="64" t="s">
        <v>14</v>
      </c>
      <c r="F336" s="64" t="s">
        <v>15</v>
      </c>
      <c r="G336" s="64">
        <v>45261</v>
      </c>
      <c r="H336" s="64">
        <v>115</v>
      </c>
      <c r="I336" s="64">
        <v>14.91</v>
      </c>
      <c r="J336" s="64">
        <v>363.94</v>
      </c>
    </row>
    <row r="337" spans="1:10">
      <c r="A337" s="64" t="s">
        <v>364</v>
      </c>
      <c r="B337" s="64" t="s">
        <v>17</v>
      </c>
      <c r="C337" s="64" t="s">
        <v>26</v>
      </c>
      <c r="D337" s="64" t="s">
        <v>13</v>
      </c>
      <c r="E337" s="64" t="s">
        <v>24</v>
      </c>
      <c r="F337" s="64" t="s">
        <v>15</v>
      </c>
      <c r="G337" s="64">
        <v>45262</v>
      </c>
      <c r="H337" s="64">
        <v>384</v>
      </c>
      <c r="I337" s="64">
        <v>369.9</v>
      </c>
      <c r="J337" s="64">
        <v>312.52</v>
      </c>
    </row>
    <row r="338" spans="1:10">
      <c r="A338" s="64" t="s">
        <v>365</v>
      </c>
      <c r="B338" s="64" t="s">
        <v>22</v>
      </c>
      <c r="C338" s="64" t="s">
        <v>50</v>
      </c>
      <c r="D338" s="64" t="s">
        <v>19</v>
      </c>
      <c r="E338" s="64" t="s">
        <v>14</v>
      </c>
      <c r="F338" s="64" t="s">
        <v>20</v>
      </c>
      <c r="G338" s="64">
        <v>45263</v>
      </c>
      <c r="H338" s="64">
        <v>437</v>
      </c>
      <c r="I338" s="64">
        <v>385.46</v>
      </c>
      <c r="J338" s="64">
        <v>4.8</v>
      </c>
    </row>
    <row r="339" spans="1:10">
      <c r="A339" s="64" t="s">
        <v>366</v>
      </c>
      <c r="B339" s="64" t="s">
        <v>11</v>
      </c>
      <c r="C339" s="64" t="s">
        <v>50</v>
      </c>
      <c r="D339" s="64" t="s">
        <v>19</v>
      </c>
      <c r="E339" s="64" t="s">
        <v>24</v>
      </c>
      <c r="F339" s="64" t="s">
        <v>15</v>
      </c>
      <c r="G339" s="64">
        <v>45264</v>
      </c>
      <c r="H339" s="64">
        <v>314</v>
      </c>
      <c r="I339" s="64">
        <v>125.61</v>
      </c>
      <c r="J339" s="64">
        <v>24.8</v>
      </c>
    </row>
    <row r="340" spans="1:10">
      <c r="A340" s="64" t="s">
        <v>367</v>
      </c>
      <c r="B340" s="64" t="s">
        <v>17</v>
      </c>
      <c r="C340" s="64" t="s">
        <v>50</v>
      </c>
      <c r="D340" s="64" t="s">
        <v>27</v>
      </c>
      <c r="E340" s="64" t="s">
        <v>14</v>
      </c>
      <c r="F340" s="64" t="s">
        <v>15</v>
      </c>
      <c r="G340" s="64">
        <v>45265</v>
      </c>
      <c r="H340" s="64">
        <v>369</v>
      </c>
      <c r="I340" s="64">
        <v>337.42</v>
      </c>
      <c r="J340" s="64">
        <v>91.64</v>
      </c>
    </row>
    <row r="341" spans="1:10">
      <c r="A341" s="64" t="s">
        <v>368</v>
      </c>
      <c r="B341" s="64" t="s">
        <v>17</v>
      </c>
      <c r="C341" s="64" t="s">
        <v>31</v>
      </c>
      <c r="D341" s="64" t="s">
        <v>13</v>
      </c>
      <c r="E341" s="64" t="s">
        <v>14</v>
      </c>
      <c r="F341" s="64" t="s">
        <v>28</v>
      </c>
      <c r="G341" s="64">
        <v>45266</v>
      </c>
      <c r="H341" s="64">
        <v>468</v>
      </c>
      <c r="I341" s="64">
        <v>51</v>
      </c>
      <c r="J341" s="64">
        <v>54.28</v>
      </c>
    </row>
    <row r="342" spans="1:10">
      <c r="A342" s="64" t="s">
        <v>369</v>
      </c>
      <c r="B342" s="64" t="s">
        <v>11</v>
      </c>
      <c r="C342" s="64" t="s">
        <v>50</v>
      </c>
      <c r="D342" s="64" t="s">
        <v>23</v>
      </c>
      <c r="E342" s="64" t="s">
        <v>24</v>
      </c>
      <c r="F342" s="64" t="s">
        <v>15</v>
      </c>
      <c r="G342" s="64">
        <v>45267</v>
      </c>
      <c r="H342" s="64">
        <v>326</v>
      </c>
      <c r="I342" s="64">
        <v>132.24</v>
      </c>
      <c r="J342" s="64">
        <v>160.74</v>
      </c>
    </row>
    <row r="343" spans="1:10">
      <c r="A343" s="64" t="s">
        <v>370</v>
      </c>
      <c r="B343" s="64" t="s">
        <v>17</v>
      </c>
      <c r="C343" s="64" t="s">
        <v>18</v>
      </c>
      <c r="D343" s="64" t="s">
        <v>42</v>
      </c>
      <c r="E343" s="64" t="s">
        <v>24</v>
      </c>
      <c r="F343" s="64" t="s">
        <v>28</v>
      </c>
      <c r="G343" s="64">
        <v>45268</v>
      </c>
      <c r="H343" s="64">
        <v>460</v>
      </c>
      <c r="I343" s="64">
        <v>395.01</v>
      </c>
      <c r="J343" s="64">
        <v>369.2</v>
      </c>
    </row>
    <row r="344" spans="1:10">
      <c r="A344" s="64" t="s">
        <v>371</v>
      </c>
      <c r="B344" s="64" t="s">
        <v>11</v>
      </c>
      <c r="C344" s="64" t="s">
        <v>12</v>
      </c>
      <c r="D344" s="64" t="s">
        <v>27</v>
      </c>
      <c r="E344" s="64" t="s">
        <v>14</v>
      </c>
      <c r="F344" s="64" t="s">
        <v>20</v>
      </c>
      <c r="G344" s="64">
        <v>45269</v>
      </c>
      <c r="H344" s="64">
        <v>132</v>
      </c>
      <c r="I344" s="64">
        <v>433.02</v>
      </c>
      <c r="J344" s="64">
        <v>189.88</v>
      </c>
    </row>
    <row r="345" spans="1:10">
      <c r="A345" s="64" t="s">
        <v>372</v>
      </c>
      <c r="B345" s="64" t="s">
        <v>48</v>
      </c>
      <c r="C345" s="64" t="s">
        <v>18</v>
      </c>
      <c r="D345" s="64" t="s">
        <v>19</v>
      </c>
      <c r="E345" s="64" t="s">
        <v>24</v>
      </c>
      <c r="F345" s="64" t="s">
        <v>15</v>
      </c>
      <c r="G345" s="64">
        <v>45270</v>
      </c>
      <c r="H345" s="64">
        <v>399</v>
      </c>
      <c r="I345" s="64">
        <v>306.2</v>
      </c>
      <c r="J345" s="64">
        <v>7.33</v>
      </c>
    </row>
    <row r="346" spans="1:10">
      <c r="A346" s="64" t="s">
        <v>373</v>
      </c>
      <c r="B346" s="64" t="s">
        <v>11</v>
      </c>
      <c r="C346" s="64" t="s">
        <v>18</v>
      </c>
      <c r="D346" s="64" t="s">
        <v>23</v>
      </c>
      <c r="E346" s="64" t="s">
        <v>14</v>
      </c>
      <c r="F346" s="64" t="s">
        <v>20</v>
      </c>
      <c r="G346" s="64">
        <v>45271</v>
      </c>
      <c r="H346" s="64">
        <v>18</v>
      </c>
      <c r="I346" s="64">
        <v>255.89</v>
      </c>
      <c r="J346" s="64">
        <v>114.53</v>
      </c>
    </row>
    <row r="347" spans="1:10">
      <c r="A347" s="64" t="s">
        <v>374</v>
      </c>
      <c r="B347" s="64" t="s">
        <v>11</v>
      </c>
      <c r="C347" s="64" t="s">
        <v>50</v>
      </c>
      <c r="D347" s="64" t="s">
        <v>23</v>
      </c>
      <c r="E347" s="64" t="s">
        <v>14</v>
      </c>
      <c r="F347" s="64" t="s">
        <v>20</v>
      </c>
      <c r="G347" s="64">
        <v>45272</v>
      </c>
      <c r="H347" s="64">
        <v>271</v>
      </c>
      <c r="I347" s="64">
        <v>83.86</v>
      </c>
      <c r="J347" s="64">
        <v>19.75</v>
      </c>
    </row>
    <row r="348" spans="1:10">
      <c r="A348" s="64" t="s">
        <v>375</v>
      </c>
      <c r="B348" s="64" t="s">
        <v>17</v>
      </c>
      <c r="C348" s="64" t="s">
        <v>12</v>
      </c>
      <c r="D348" s="64" t="s">
        <v>42</v>
      </c>
      <c r="E348" s="64" t="s">
        <v>14</v>
      </c>
      <c r="F348" s="64" t="s">
        <v>15</v>
      </c>
      <c r="G348" s="64">
        <v>45273</v>
      </c>
      <c r="H348" s="64">
        <v>82</v>
      </c>
      <c r="I348" s="64">
        <v>36.24</v>
      </c>
      <c r="J348" s="64">
        <v>16.440000000000001</v>
      </c>
    </row>
    <row r="349" spans="1:10">
      <c r="A349" s="64" t="s">
        <v>376</v>
      </c>
      <c r="B349" s="64" t="s">
        <v>17</v>
      </c>
      <c r="C349" s="64" t="s">
        <v>12</v>
      </c>
      <c r="D349" s="64" t="s">
        <v>19</v>
      </c>
      <c r="E349" s="64" t="s">
        <v>14</v>
      </c>
      <c r="F349" s="64" t="s">
        <v>15</v>
      </c>
      <c r="G349" s="64">
        <v>45274</v>
      </c>
      <c r="H349" s="64">
        <v>368</v>
      </c>
      <c r="I349" s="64">
        <v>63.24</v>
      </c>
      <c r="J349" s="64">
        <v>111.74</v>
      </c>
    </row>
    <row r="350" spans="1:10">
      <c r="A350" s="64" t="s">
        <v>377</v>
      </c>
      <c r="B350" s="64" t="s">
        <v>17</v>
      </c>
      <c r="C350" s="64" t="s">
        <v>12</v>
      </c>
      <c r="D350" s="64" t="s">
        <v>13</v>
      </c>
      <c r="E350" s="64" t="s">
        <v>14</v>
      </c>
      <c r="F350" s="64" t="s">
        <v>20</v>
      </c>
      <c r="G350" s="64">
        <v>45275</v>
      </c>
      <c r="H350" s="64">
        <v>232</v>
      </c>
      <c r="I350" s="64">
        <v>117.54</v>
      </c>
      <c r="J350" s="64">
        <v>111.69</v>
      </c>
    </row>
    <row r="351" spans="1:10">
      <c r="A351" s="64" t="s">
        <v>378</v>
      </c>
      <c r="B351" s="64" t="s">
        <v>11</v>
      </c>
      <c r="C351" s="64" t="s">
        <v>31</v>
      </c>
      <c r="D351" s="64" t="s">
        <v>23</v>
      </c>
      <c r="E351" s="64" t="s">
        <v>24</v>
      </c>
      <c r="F351" s="64" t="s">
        <v>15</v>
      </c>
      <c r="G351" s="64">
        <v>45276</v>
      </c>
      <c r="H351" s="64">
        <v>425</v>
      </c>
      <c r="I351" s="64">
        <v>174.13</v>
      </c>
      <c r="J351" s="64">
        <v>315.27999999999997</v>
      </c>
    </row>
  </sheetData>
  <mergeCells count="1">
    <mergeCell ref="L3:T4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51"/>
  <sheetViews>
    <sheetView topLeftCell="A15" zoomScale="92" zoomScaleNormal="92" workbookViewId="0">
      <selection activeCell="L27" sqref="L27"/>
    </sheetView>
  </sheetViews>
  <sheetFormatPr defaultColWidth="11.85546875" defaultRowHeight="15.75"/>
  <cols>
    <col min="1" max="1" width="9.140625" style="63" bestFit="1" customWidth="1"/>
    <col min="2" max="2" width="7.140625" style="63" bestFit="1" customWidth="1"/>
    <col min="3" max="3" width="9" style="63" bestFit="1" customWidth="1"/>
    <col min="4" max="4" width="10.5703125" style="63" bestFit="1" customWidth="1"/>
    <col min="5" max="5" width="12.5703125" style="63" bestFit="1" customWidth="1"/>
    <col min="6" max="6" width="8.42578125" style="63" bestFit="1" customWidth="1"/>
    <col min="7" max="7" width="15.7109375" style="63" bestFit="1" customWidth="1"/>
    <col min="8" max="8" width="10" style="63" bestFit="1" customWidth="1"/>
    <col min="9" max="9" width="9.7109375" style="63" bestFit="1" customWidth="1"/>
    <col min="10" max="10" width="9.140625" style="63" bestFit="1" customWidth="1"/>
    <col min="11" max="11" width="11.85546875" style="63"/>
    <col min="12" max="12" width="68.7109375" style="63" bestFit="1" customWidth="1"/>
    <col min="13" max="13" width="23.85546875" style="63" bestFit="1" customWidth="1"/>
    <col min="14" max="14" width="11.85546875" style="63"/>
    <col min="15" max="15" width="9.140625" style="63" bestFit="1" customWidth="1"/>
    <col min="16" max="16" width="24.42578125" style="63" bestFit="1" customWidth="1"/>
    <col min="17" max="16384" width="11.85546875" style="63"/>
  </cols>
  <sheetData>
    <row r="1" spans="1:18" ht="32.25" thickBot="1">
      <c r="A1" s="68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 t="s">
        <v>9</v>
      </c>
    </row>
    <row r="2" spans="1:18" ht="32.25" thickBot="1">
      <c r="A2" s="70" t="s">
        <v>10</v>
      </c>
      <c r="B2" s="70" t="s">
        <v>11</v>
      </c>
      <c r="C2" s="70" t="s">
        <v>12</v>
      </c>
      <c r="D2" s="70" t="s">
        <v>13</v>
      </c>
      <c r="E2" s="70" t="s">
        <v>14</v>
      </c>
      <c r="F2" s="70" t="s">
        <v>15</v>
      </c>
      <c r="G2" s="71">
        <v>44927</v>
      </c>
      <c r="H2" s="63">
        <v>235</v>
      </c>
      <c r="I2" s="63">
        <v>152.91999999999999</v>
      </c>
      <c r="J2" s="72">
        <v>153.6</v>
      </c>
    </row>
    <row r="3" spans="1:18" ht="18.600000000000001" customHeight="1" thickBot="1">
      <c r="A3" s="70" t="s">
        <v>16</v>
      </c>
      <c r="B3" s="70" t="s">
        <v>17</v>
      </c>
      <c r="C3" s="70" t="s">
        <v>18</v>
      </c>
      <c r="D3" s="70" t="s">
        <v>19</v>
      </c>
      <c r="E3" s="70" t="s">
        <v>14</v>
      </c>
      <c r="F3" s="70" t="s">
        <v>20</v>
      </c>
      <c r="G3" s="71">
        <v>44928</v>
      </c>
      <c r="H3" s="63">
        <v>341</v>
      </c>
      <c r="I3" s="63">
        <v>467.92</v>
      </c>
      <c r="J3" s="72">
        <v>139.84</v>
      </c>
      <c r="L3" s="73" t="s">
        <v>389</v>
      </c>
      <c r="M3" s="73"/>
      <c r="N3" s="73"/>
      <c r="O3" s="73"/>
      <c r="P3" s="73"/>
      <c r="Q3" s="73"/>
      <c r="R3" s="73"/>
    </row>
    <row r="4" spans="1:18" ht="18.600000000000001" customHeight="1" thickBot="1">
      <c r="A4" s="70" t="s">
        <v>21</v>
      </c>
      <c r="B4" s="70" t="s">
        <v>22</v>
      </c>
      <c r="C4" s="70" t="s">
        <v>18</v>
      </c>
      <c r="D4" s="70" t="s">
        <v>23</v>
      </c>
      <c r="E4" s="70" t="s">
        <v>24</v>
      </c>
      <c r="F4" s="70" t="s">
        <v>15</v>
      </c>
      <c r="G4" s="71">
        <v>44929</v>
      </c>
      <c r="H4" s="63">
        <v>179</v>
      </c>
      <c r="I4" s="63">
        <v>473.94</v>
      </c>
      <c r="J4" s="72">
        <v>97.14</v>
      </c>
      <c r="L4" s="73"/>
      <c r="M4" s="73"/>
      <c r="N4" s="73"/>
      <c r="O4" s="73"/>
      <c r="P4" s="73"/>
      <c r="Q4" s="73"/>
      <c r="R4" s="73"/>
    </row>
    <row r="5" spans="1:18" ht="32.25" thickBot="1">
      <c r="A5" s="70" t="s">
        <v>25</v>
      </c>
      <c r="B5" s="70" t="s">
        <v>11</v>
      </c>
      <c r="C5" s="70" t="s">
        <v>26</v>
      </c>
      <c r="D5" s="70" t="s">
        <v>27</v>
      </c>
      <c r="E5" s="70" t="s">
        <v>24</v>
      </c>
      <c r="F5" s="70" t="s">
        <v>28</v>
      </c>
      <c r="G5" s="71">
        <v>44930</v>
      </c>
      <c r="H5" s="63">
        <v>18</v>
      </c>
      <c r="I5" s="63">
        <v>314.52999999999997</v>
      </c>
      <c r="J5" s="72">
        <v>204.87</v>
      </c>
    </row>
    <row r="6" spans="1:18" ht="32.25" thickBot="1">
      <c r="A6" s="70" t="s">
        <v>29</v>
      </c>
      <c r="B6" s="70" t="s">
        <v>11</v>
      </c>
      <c r="C6" s="70" t="s">
        <v>18</v>
      </c>
      <c r="D6" s="70" t="s">
        <v>27</v>
      </c>
      <c r="E6" s="70" t="s">
        <v>24</v>
      </c>
      <c r="F6" s="70" t="s">
        <v>28</v>
      </c>
      <c r="G6" s="71">
        <v>44931</v>
      </c>
      <c r="H6" s="63">
        <v>472</v>
      </c>
      <c r="I6" s="63">
        <v>392.79</v>
      </c>
      <c r="J6" s="72">
        <v>330.46</v>
      </c>
      <c r="L6" s="74" t="s">
        <v>390</v>
      </c>
      <c r="M6" s="74"/>
      <c r="N6" s="74"/>
      <c r="O6" s="74"/>
      <c r="P6" s="74"/>
    </row>
    <row r="7" spans="1:18" ht="32.25" thickBot="1">
      <c r="A7" s="70" t="s">
        <v>30</v>
      </c>
      <c r="B7" s="70" t="s">
        <v>17</v>
      </c>
      <c r="C7" s="70" t="s">
        <v>31</v>
      </c>
      <c r="D7" s="70" t="s">
        <v>23</v>
      </c>
      <c r="E7" s="70" t="s">
        <v>14</v>
      </c>
      <c r="F7" s="70" t="s">
        <v>15</v>
      </c>
      <c r="G7" s="71">
        <v>44932</v>
      </c>
      <c r="H7" s="63">
        <v>49</v>
      </c>
      <c r="I7" s="63">
        <v>308.07</v>
      </c>
      <c r="J7" s="72">
        <v>113.32</v>
      </c>
    </row>
    <row r="8" spans="1:18" ht="32.25" thickBot="1">
      <c r="A8" s="70" t="s">
        <v>32</v>
      </c>
      <c r="B8" s="70" t="s">
        <v>22</v>
      </c>
      <c r="C8" s="70" t="s">
        <v>12</v>
      </c>
      <c r="D8" s="70" t="s">
        <v>23</v>
      </c>
      <c r="E8" s="70" t="s">
        <v>14</v>
      </c>
      <c r="F8" s="70" t="s">
        <v>20</v>
      </c>
      <c r="G8" s="71">
        <v>44933</v>
      </c>
      <c r="H8" s="63">
        <v>34</v>
      </c>
      <c r="I8" s="63">
        <v>244.78</v>
      </c>
      <c r="J8" s="72">
        <v>377.07</v>
      </c>
      <c r="L8" s="75" t="s">
        <v>391</v>
      </c>
      <c r="M8" s="75" t="s">
        <v>392</v>
      </c>
      <c r="N8" s="9"/>
      <c r="O8" s="75" t="s">
        <v>0</v>
      </c>
      <c r="P8" s="75" t="s">
        <v>393</v>
      </c>
    </row>
    <row r="9" spans="1:18" ht="32.25" thickBot="1">
      <c r="A9" s="70" t="s">
        <v>33</v>
      </c>
      <c r="B9" s="70" t="s">
        <v>22</v>
      </c>
      <c r="C9" s="70" t="s">
        <v>18</v>
      </c>
      <c r="D9" s="70" t="s">
        <v>13</v>
      </c>
      <c r="E9" s="70" t="s">
        <v>14</v>
      </c>
      <c r="F9" s="70" t="s">
        <v>15</v>
      </c>
      <c r="G9" s="71">
        <v>44934</v>
      </c>
      <c r="H9" s="63">
        <v>270</v>
      </c>
      <c r="I9" s="63">
        <v>332.11</v>
      </c>
      <c r="J9" s="72">
        <v>349.59</v>
      </c>
      <c r="L9" s="19" t="s">
        <v>67</v>
      </c>
      <c r="M9" s="19">
        <v>248.5</v>
      </c>
      <c r="O9" s="19" t="s">
        <v>56</v>
      </c>
      <c r="P9" s="19">
        <v>255.39500000000001</v>
      </c>
    </row>
    <row r="10" spans="1:18" ht="32.25" thickBot="1">
      <c r="A10" s="70" t="s">
        <v>34</v>
      </c>
      <c r="B10" s="70" t="s">
        <v>11</v>
      </c>
      <c r="C10" s="70" t="s">
        <v>18</v>
      </c>
      <c r="D10" s="70" t="s">
        <v>13</v>
      </c>
      <c r="E10" s="70" t="s">
        <v>14</v>
      </c>
      <c r="F10" s="70" t="s">
        <v>20</v>
      </c>
      <c r="G10" s="71">
        <v>44935</v>
      </c>
      <c r="H10" s="63">
        <v>404</v>
      </c>
      <c r="I10" s="63">
        <v>278.74</v>
      </c>
      <c r="J10" s="72">
        <v>66.38</v>
      </c>
      <c r="L10" s="19" t="s">
        <v>159</v>
      </c>
      <c r="M10" s="19">
        <v>248.5</v>
      </c>
      <c r="O10" s="19" t="s">
        <v>65</v>
      </c>
      <c r="P10" s="19">
        <v>255.39500000000001</v>
      </c>
    </row>
    <row r="11" spans="1:18" ht="32.25" thickBot="1">
      <c r="A11" s="70" t="s">
        <v>35</v>
      </c>
      <c r="B11" s="70"/>
      <c r="C11" s="70" t="s">
        <v>26</v>
      </c>
      <c r="D11" s="70" t="s">
        <v>27</v>
      </c>
      <c r="E11" s="70" t="s">
        <v>14</v>
      </c>
      <c r="F11" s="70" t="s">
        <v>28</v>
      </c>
      <c r="G11" s="71">
        <v>44936</v>
      </c>
      <c r="H11" s="63">
        <v>452</v>
      </c>
      <c r="I11" s="63">
        <v>300.75</v>
      </c>
      <c r="J11" s="72">
        <v>314.94</v>
      </c>
      <c r="L11" s="19" t="s">
        <v>228</v>
      </c>
      <c r="M11" s="19">
        <v>248.5</v>
      </c>
      <c r="O11" s="19" t="s">
        <v>73</v>
      </c>
      <c r="P11" s="19">
        <v>255.39500000000001</v>
      </c>
    </row>
    <row r="12" spans="1:18" ht="32.25" thickBot="1">
      <c r="A12" s="70" t="s">
        <v>36</v>
      </c>
      <c r="B12" s="70" t="s">
        <v>11</v>
      </c>
      <c r="C12" s="70" t="s">
        <v>26</v>
      </c>
      <c r="D12" s="70" t="s">
        <v>19</v>
      </c>
      <c r="E12" s="70" t="s">
        <v>14</v>
      </c>
      <c r="F12" s="70" t="s">
        <v>20</v>
      </c>
      <c r="G12" s="71">
        <v>44937</v>
      </c>
      <c r="H12" s="63">
        <v>235</v>
      </c>
      <c r="I12" s="63">
        <v>393</v>
      </c>
      <c r="J12" s="72">
        <v>230.69</v>
      </c>
      <c r="L12" s="19" t="s">
        <v>256</v>
      </c>
      <c r="M12" s="19">
        <v>248.5</v>
      </c>
      <c r="O12" s="19" t="s">
        <v>108</v>
      </c>
      <c r="P12" s="19">
        <v>255.39500000000001</v>
      </c>
    </row>
    <row r="13" spans="1:18" ht="32.25" thickBot="1">
      <c r="A13" s="70" t="s">
        <v>37</v>
      </c>
      <c r="B13" s="70" t="s">
        <v>11</v>
      </c>
      <c r="C13" s="70" t="s">
        <v>31</v>
      </c>
      <c r="D13" s="70" t="s">
        <v>27</v>
      </c>
      <c r="E13" s="70" t="s">
        <v>24</v>
      </c>
      <c r="F13" s="70" t="s">
        <v>28</v>
      </c>
      <c r="G13" s="71">
        <v>44938</v>
      </c>
      <c r="H13" s="63">
        <v>481</v>
      </c>
      <c r="I13" s="63">
        <v>243.05</v>
      </c>
      <c r="J13" s="72">
        <v>227.5</v>
      </c>
      <c r="L13" s="19" t="s">
        <v>279</v>
      </c>
      <c r="M13" s="19">
        <v>248.5</v>
      </c>
      <c r="O13" s="19" t="s">
        <v>120</v>
      </c>
      <c r="P13" s="19">
        <v>255.39500000000001</v>
      </c>
    </row>
    <row r="14" spans="1:18" ht="32.25" thickBot="1">
      <c r="A14" s="70" t="s">
        <v>38</v>
      </c>
      <c r="B14" s="70" t="s">
        <v>11</v>
      </c>
      <c r="C14" s="70" t="s">
        <v>12</v>
      </c>
      <c r="D14" s="70" t="s">
        <v>19</v>
      </c>
      <c r="E14" s="70" t="s">
        <v>24</v>
      </c>
      <c r="F14" s="70" t="s">
        <v>20</v>
      </c>
      <c r="G14" s="71">
        <v>44939</v>
      </c>
      <c r="H14" s="63">
        <v>133</v>
      </c>
      <c r="I14" s="63">
        <v>25.17</v>
      </c>
      <c r="J14" s="72">
        <v>157.63999999999999</v>
      </c>
      <c r="L14" s="19" t="s">
        <v>317</v>
      </c>
      <c r="M14" s="19">
        <v>248.5</v>
      </c>
      <c r="O14" s="19" t="s">
        <v>185</v>
      </c>
      <c r="P14" s="19">
        <v>255.39500000000001</v>
      </c>
    </row>
    <row r="15" spans="1:18" ht="32.25" thickBot="1">
      <c r="A15" s="70" t="s">
        <v>39</v>
      </c>
      <c r="B15" s="70" t="s">
        <v>11</v>
      </c>
      <c r="C15" s="70" t="s">
        <v>26</v>
      </c>
      <c r="D15" s="70" t="s">
        <v>19</v>
      </c>
      <c r="E15" s="70" t="s">
        <v>24</v>
      </c>
      <c r="F15" s="70" t="s">
        <v>20</v>
      </c>
      <c r="G15" s="71">
        <v>44940</v>
      </c>
      <c r="H15" s="63">
        <v>472</v>
      </c>
      <c r="I15" s="63">
        <v>86.18</v>
      </c>
      <c r="J15" s="72">
        <v>201.46</v>
      </c>
      <c r="L15" s="19" t="s">
        <v>322</v>
      </c>
      <c r="M15" s="19">
        <v>248.5</v>
      </c>
      <c r="O15" s="19" t="s">
        <v>285</v>
      </c>
      <c r="P15" s="19">
        <v>255.39500000000001</v>
      </c>
    </row>
    <row r="16" spans="1:18" ht="32.25" thickBot="1">
      <c r="A16" s="70" t="s">
        <v>40</v>
      </c>
      <c r="B16" s="70" t="s">
        <v>17</v>
      </c>
      <c r="C16" s="70" t="s">
        <v>18</v>
      </c>
      <c r="D16" s="70" t="s">
        <v>13</v>
      </c>
      <c r="E16" s="70" t="s">
        <v>24</v>
      </c>
      <c r="F16" s="70" t="s">
        <v>20</v>
      </c>
      <c r="G16" s="71">
        <v>44941</v>
      </c>
      <c r="H16" s="63">
        <v>47</v>
      </c>
      <c r="I16" s="63">
        <v>222.11</v>
      </c>
      <c r="J16" s="72">
        <v>160.08000000000001</v>
      </c>
      <c r="L16" s="19" t="s">
        <v>342</v>
      </c>
      <c r="M16" s="19">
        <v>248.5</v>
      </c>
      <c r="O16" s="19" t="s">
        <v>289</v>
      </c>
      <c r="P16" s="19">
        <v>255.39500000000001</v>
      </c>
    </row>
    <row r="17" spans="1:16" ht="32.25" thickBot="1">
      <c r="A17" s="70" t="s">
        <v>41</v>
      </c>
      <c r="B17" s="70" t="s">
        <v>22</v>
      </c>
      <c r="C17" s="70" t="s">
        <v>12</v>
      </c>
      <c r="D17" s="70" t="s">
        <v>42</v>
      </c>
      <c r="E17" s="70" t="s">
        <v>14</v>
      </c>
      <c r="F17" s="70" t="s">
        <v>15</v>
      </c>
      <c r="G17" s="71">
        <v>44942</v>
      </c>
      <c r="H17" s="63">
        <v>337</v>
      </c>
      <c r="I17" s="63">
        <v>363.79</v>
      </c>
      <c r="J17" s="72">
        <v>216.81</v>
      </c>
      <c r="L17" s="19" t="s">
        <v>345</v>
      </c>
      <c r="M17" s="19">
        <v>248.5</v>
      </c>
      <c r="O17" s="19" t="s">
        <v>316</v>
      </c>
      <c r="P17" s="19">
        <v>255.39500000000001</v>
      </c>
    </row>
    <row r="18" spans="1:16" ht="32.25" thickBot="1">
      <c r="A18" s="70" t="s">
        <v>43</v>
      </c>
      <c r="B18" s="70" t="s">
        <v>17</v>
      </c>
      <c r="C18" s="70" t="s">
        <v>12</v>
      </c>
      <c r="D18" s="70" t="s">
        <v>42</v>
      </c>
      <c r="E18" s="70" t="s">
        <v>14</v>
      </c>
      <c r="F18" s="70" t="s">
        <v>15</v>
      </c>
      <c r="G18" s="71">
        <v>44943</v>
      </c>
      <c r="H18" s="63">
        <v>260</v>
      </c>
      <c r="I18" s="63">
        <v>298.67</v>
      </c>
      <c r="J18" s="72">
        <v>251.92</v>
      </c>
      <c r="L18" s="19" t="s">
        <v>356</v>
      </c>
      <c r="M18" s="19">
        <v>248.5</v>
      </c>
      <c r="O18" s="19" t="s">
        <v>336</v>
      </c>
      <c r="P18" s="19">
        <v>255.39500000000001</v>
      </c>
    </row>
    <row r="19" spans="1:16" ht="32.25" thickBot="1">
      <c r="A19" s="70" t="s">
        <v>44</v>
      </c>
      <c r="B19" s="70"/>
      <c r="C19" s="70" t="s">
        <v>18</v>
      </c>
      <c r="D19" s="70" t="s">
        <v>23</v>
      </c>
      <c r="E19" s="70" t="s">
        <v>24</v>
      </c>
      <c r="F19" s="70" t="s">
        <v>28</v>
      </c>
      <c r="G19" s="71">
        <v>44944</v>
      </c>
      <c r="H19" s="63">
        <v>398</v>
      </c>
      <c r="I19" s="63">
        <v>326.89999999999998</v>
      </c>
      <c r="J19" s="72">
        <v>270.37</v>
      </c>
    </row>
    <row r="20" spans="1:16" ht="32.25" thickBot="1">
      <c r="A20" s="70" t="s">
        <v>45</v>
      </c>
      <c r="B20" s="70" t="s">
        <v>17</v>
      </c>
      <c r="C20" s="70" t="s">
        <v>26</v>
      </c>
      <c r="D20" s="70" t="s">
        <v>13</v>
      </c>
      <c r="E20" s="70" t="s">
        <v>14</v>
      </c>
      <c r="F20" s="70" t="s">
        <v>28</v>
      </c>
      <c r="G20" s="71">
        <v>44945</v>
      </c>
      <c r="H20" s="63">
        <v>185</v>
      </c>
      <c r="I20" s="63">
        <v>242.24</v>
      </c>
      <c r="J20" s="72">
        <v>213.93</v>
      </c>
    </row>
    <row r="21" spans="1:16" ht="32.25" thickBot="1">
      <c r="A21" s="70" t="s">
        <v>46</v>
      </c>
      <c r="B21" s="70" t="s">
        <v>11</v>
      </c>
      <c r="C21" s="70" t="s">
        <v>18</v>
      </c>
      <c r="D21" s="70" t="s">
        <v>19</v>
      </c>
      <c r="E21" s="70" t="s">
        <v>24</v>
      </c>
      <c r="F21" s="70" t="s">
        <v>15</v>
      </c>
      <c r="G21" s="71">
        <v>44946</v>
      </c>
      <c r="H21" s="63">
        <v>99</v>
      </c>
      <c r="I21" s="63">
        <v>309.79000000000002</v>
      </c>
      <c r="J21" s="72">
        <v>289.13</v>
      </c>
    </row>
    <row r="22" spans="1:16" ht="32.25" thickBot="1">
      <c r="A22" s="70" t="s">
        <v>47</v>
      </c>
      <c r="B22" s="70" t="s">
        <v>48</v>
      </c>
      <c r="C22" s="70" t="s">
        <v>12</v>
      </c>
      <c r="D22" s="70" t="s">
        <v>42</v>
      </c>
      <c r="E22" s="70" t="s">
        <v>24</v>
      </c>
      <c r="F22" s="70" t="s">
        <v>28</v>
      </c>
      <c r="G22" s="71">
        <v>44947</v>
      </c>
      <c r="H22" s="63">
        <v>411</v>
      </c>
      <c r="I22" s="63">
        <v>167.86</v>
      </c>
      <c r="J22" s="72">
        <v>58.23</v>
      </c>
    </row>
    <row r="23" spans="1:16" ht="32.25" thickBot="1">
      <c r="A23" s="70" t="s">
        <v>49</v>
      </c>
      <c r="B23" s="70" t="s">
        <v>22</v>
      </c>
      <c r="C23" s="70" t="s">
        <v>50</v>
      </c>
      <c r="D23" s="70" t="s">
        <v>19</v>
      </c>
      <c r="E23" s="70" t="s">
        <v>24</v>
      </c>
      <c r="F23" s="70" t="s">
        <v>15</v>
      </c>
      <c r="G23" s="71">
        <v>44948</v>
      </c>
      <c r="H23" s="63">
        <v>463</v>
      </c>
      <c r="I23" s="63">
        <v>237.74</v>
      </c>
      <c r="J23" s="72">
        <v>86.37</v>
      </c>
    </row>
    <row r="24" spans="1:16" ht="32.25" thickBot="1">
      <c r="A24" s="70" t="s">
        <v>51</v>
      </c>
      <c r="B24" s="70" t="s">
        <v>48</v>
      </c>
      <c r="C24" s="70" t="s">
        <v>50</v>
      </c>
      <c r="D24" s="70" t="s">
        <v>42</v>
      </c>
      <c r="E24" s="70" t="s">
        <v>14</v>
      </c>
      <c r="F24" s="70" t="s">
        <v>20</v>
      </c>
      <c r="G24" s="71">
        <v>44949</v>
      </c>
      <c r="H24" s="63">
        <v>46</v>
      </c>
      <c r="I24" s="63">
        <v>373.42</v>
      </c>
      <c r="J24" s="72">
        <v>327.86</v>
      </c>
    </row>
    <row r="25" spans="1:16" ht="32.25" thickBot="1">
      <c r="A25" s="70" t="s">
        <v>52</v>
      </c>
      <c r="B25" s="70" t="s">
        <v>17</v>
      </c>
      <c r="C25" s="70" t="s">
        <v>31</v>
      </c>
      <c r="D25" s="70" t="s">
        <v>42</v>
      </c>
      <c r="E25" s="70" t="s">
        <v>24</v>
      </c>
      <c r="F25" s="70" t="s">
        <v>28</v>
      </c>
      <c r="G25" s="71">
        <v>44950</v>
      </c>
      <c r="H25" s="63">
        <v>325</v>
      </c>
      <c r="I25" s="63">
        <v>436.56</v>
      </c>
      <c r="J25" s="72">
        <v>130.37</v>
      </c>
    </row>
    <row r="26" spans="1:16" ht="32.25" thickBot="1">
      <c r="A26" s="70" t="s">
        <v>53</v>
      </c>
      <c r="B26" s="70" t="s">
        <v>17</v>
      </c>
      <c r="C26" s="70" t="s">
        <v>18</v>
      </c>
      <c r="D26" s="70"/>
      <c r="E26" s="70" t="s">
        <v>24</v>
      </c>
      <c r="F26" s="70" t="s">
        <v>28</v>
      </c>
      <c r="G26" s="71">
        <v>44951</v>
      </c>
      <c r="H26" s="63">
        <v>185</v>
      </c>
      <c r="I26" s="63">
        <v>219.66</v>
      </c>
      <c r="J26" s="72">
        <v>11.11</v>
      </c>
    </row>
    <row r="27" spans="1:16" ht="32.25" thickBot="1">
      <c r="A27" s="70" t="s">
        <v>54</v>
      </c>
      <c r="B27" s="70" t="s">
        <v>48</v>
      </c>
      <c r="C27" s="70" t="s">
        <v>18</v>
      </c>
      <c r="D27" s="70" t="s">
        <v>13</v>
      </c>
      <c r="E27" s="70" t="s">
        <v>24</v>
      </c>
      <c r="F27" s="70" t="s">
        <v>15</v>
      </c>
      <c r="G27" s="71">
        <v>44952</v>
      </c>
      <c r="H27" s="63">
        <v>470</v>
      </c>
      <c r="I27" s="63">
        <v>26.61</v>
      </c>
      <c r="J27" s="72">
        <v>63.21</v>
      </c>
    </row>
    <row r="28" spans="1:16" ht="32.25" thickBot="1">
      <c r="A28" s="70" t="s">
        <v>55</v>
      </c>
      <c r="B28" s="70" t="s">
        <v>48</v>
      </c>
      <c r="C28" s="70" t="s">
        <v>31</v>
      </c>
      <c r="D28" s="70" t="s">
        <v>27</v>
      </c>
      <c r="E28" s="70" t="s">
        <v>14</v>
      </c>
      <c r="F28" s="70" t="s">
        <v>28</v>
      </c>
      <c r="G28" s="71">
        <v>44953</v>
      </c>
      <c r="H28" s="63">
        <v>293</v>
      </c>
      <c r="I28" s="63">
        <v>85.03</v>
      </c>
      <c r="J28" s="72">
        <v>91</v>
      </c>
    </row>
    <row r="29" spans="1:16" ht="32.25" thickBot="1">
      <c r="A29" s="70" t="s">
        <v>56</v>
      </c>
      <c r="B29" s="70" t="s">
        <v>48</v>
      </c>
      <c r="C29" s="70" t="s">
        <v>31</v>
      </c>
      <c r="D29" s="70" t="s">
        <v>19</v>
      </c>
      <c r="E29" s="70" t="s">
        <v>14</v>
      </c>
      <c r="F29" s="70" t="s">
        <v>28</v>
      </c>
      <c r="G29" s="71">
        <v>44954</v>
      </c>
      <c r="H29" s="63">
        <v>462</v>
      </c>
      <c r="I29" s="63">
        <v>255.39500000000001</v>
      </c>
      <c r="J29" s="72">
        <v>383.01</v>
      </c>
    </row>
    <row r="30" spans="1:16" ht="32.25" thickBot="1">
      <c r="A30" s="70" t="s">
        <v>57</v>
      </c>
      <c r="B30" s="70" t="s">
        <v>17</v>
      </c>
      <c r="C30" s="70" t="s">
        <v>31</v>
      </c>
      <c r="D30" s="70" t="s">
        <v>13</v>
      </c>
      <c r="E30" s="70" t="s">
        <v>24</v>
      </c>
      <c r="F30" s="70" t="s">
        <v>20</v>
      </c>
      <c r="G30" s="71">
        <v>44955</v>
      </c>
      <c r="H30" s="63">
        <v>470</v>
      </c>
      <c r="I30" s="63">
        <v>328.37</v>
      </c>
      <c r="J30" s="72">
        <v>230.07</v>
      </c>
    </row>
    <row r="31" spans="1:16" ht="32.25" thickBot="1">
      <c r="A31" s="70" t="s">
        <v>58</v>
      </c>
      <c r="B31" s="70" t="s">
        <v>17</v>
      </c>
      <c r="C31" s="70" t="s">
        <v>12</v>
      </c>
      <c r="D31" s="70" t="s">
        <v>13</v>
      </c>
      <c r="E31" s="70" t="s">
        <v>14</v>
      </c>
      <c r="F31" s="70" t="s">
        <v>28</v>
      </c>
      <c r="G31" s="71">
        <v>44956</v>
      </c>
      <c r="H31" s="63">
        <v>90</v>
      </c>
      <c r="I31" s="63">
        <v>169.5</v>
      </c>
      <c r="J31" s="72">
        <v>373.23</v>
      </c>
    </row>
    <row r="32" spans="1:16" ht="32.25" thickBot="1">
      <c r="A32" s="70" t="s">
        <v>59</v>
      </c>
      <c r="B32" s="70"/>
      <c r="C32" s="70" t="s">
        <v>18</v>
      </c>
      <c r="D32" s="70" t="s">
        <v>13</v>
      </c>
      <c r="E32" s="70" t="s">
        <v>14</v>
      </c>
      <c r="F32" s="70" t="s">
        <v>20</v>
      </c>
      <c r="G32" s="71">
        <v>44957</v>
      </c>
      <c r="H32" s="63">
        <v>123</v>
      </c>
      <c r="I32" s="63">
        <v>273.52999999999997</v>
      </c>
      <c r="J32" s="72">
        <v>230.92</v>
      </c>
    </row>
    <row r="33" spans="1:10" ht="32.25" thickBot="1">
      <c r="A33" s="70" t="s">
        <v>60</v>
      </c>
      <c r="B33" s="70" t="s">
        <v>22</v>
      </c>
      <c r="C33" s="70" t="s">
        <v>12</v>
      </c>
      <c r="D33" s="70" t="s">
        <v>13</v>
      </c>
      <c r="E33" s="70" t="s">
        <v>14</v>
      </c>
      <c r="F33" s="70" t="s">
        <v>15</v>
      </c>
      <c r="G33" s="71">
        <v>44958</v>
      </c>
      <c r="H33" s="63">
        <v>49</v>
      </c>
      <c r="I33" s="63">
        <v>249.17</v>
      </c>
      <c r="J33" s="72">
        <v>192.78</v>
      </c>
    </row>
    <row r="34" spans="1:10" ht="32.25" thickBot="1">
      <c r="A34" s="70" t="s">
        <v>61</v>
      </c>
      <c r="B34" s="70" t="s">
        <v>17</v>
      </c>
      <c r="C34" s="70" t="s">
        <v>31</v>
      </c>
      <c r="D34" s="70" t="s">
        <v>13</v>
      </c>
      <c r="E34" s="70" t="s">
        <v>14</v>
      </c>
      <c r="F34" s="70" t="s">
        <v>28</v>
      </c>
      <c r="G34" s="71">
        <v>44959</v>
      </c>
      <c r="H34" s="63">
        <v>310</v>
      </c>
      <c r="I34" s="63">
        <v>45.36</v>
      </c>
      <c r="J34" s="72">
        <v>126.86</v>
      </c>
    </row>
    <row r="35" spans="1:10" ht="32.25" thickBot="1">
      <c r="A35" s="70" t="s">
        <v>62</v>
      </c>
      <c r="B35" s="70" t="s">
        <v>48</v>
      </c>
      <c r="C35" s="70" t="s">
        <v>18</v>
      </c>
      <c r="D35" s="70" t="s">
        <v>23</v>
      </c>
      <c r="E35" s="70" t="s">
        <v>14</v>
      </c>
      <c r="F35" s="70" t="s">
        <v>20</v>
      </c>
      <c r="G35" s="71">
        <v>44960</v>
      </c>
      <c r="H35" s="63">
        <v>233</v>
      </c>
      <c r="I35" s="63">
        <v>204.61</v>
      </c>
      <c r="J35" s="72">
        <v>243.34</v>
      </c>
    </row>
    <row r="36" spans="1:10" ht="32.25" thickBot="1">
      <c r="A36" s="70" t="s">
        <v>63</v>
      </c>
      <c r="B36" s="70" t="s">
        <v>48</v>
      </c>
      <c r="C36" s="70" t="s">
        <v>12</v>
      </c>
      <c r="D36" s="70" t="s">
        <v>19</v>
      </c>
      <c r="E36" s="70" t="s">
        <v>14</v>
      </c>
      <c r="F36" s="70" t="s">
        <v>15</v>
      </c>
      <c r="G36" s="71">
        <v>44961</v>
      </c>
      <c r="H36" s="63">
        <v>327</v>
      </c>
      <c r="I36" s="63">
        <v>114.18</v>
      </c>
      <c r="J36" s="72">
        <v>57.4</v>
      </c>
    </row>
    <row r="37" spans="1:10" ht="32.25" thickBot="1">
      <c r="A37" s="70" t="s">
        <v>64</v>
      </c>
      <c r="B37" s="70" t="s">
        <v>22</v>
      </c>
      <c r="C37" s="70" t="s">
        <v>12</v>
      </c>
      <c r="D37" s="70" t="s">
        <v>13</v>
      </c>
      <c r="E37" s="70" t="s">
        <v>14</v>
      </c>
      <c r="F37" s="70" t="s">
        <v>28</v>
      </c>
      <c r="G37" s="71">
        <v>44962</v>
      </c>
      <c r="H37" s="63">
        <v>358</v>
      </c>
      <c r="I37" s="63">
        <v>212.11</v>
      </c>
      <c r="J37" s="72">
        <v>359.51</v>
      </c>
    </row>
    <row r="38" spans="1:10" ht="32.25" thickBot="1">
      <c r="A38" s="70" t="s">
        <v>65</v>
      </c>
      <c r="B38" s="70" t="s">
        <v>17</v>
      </c>
      <c r="C38" s="70" t="s">
        <v>31</v>
      </c>
      <c r="D38" s="70" t="s">
        <v>19</v>
      </c>
      <c r="E38" s="70" t="s">
        <v>14</v>
      </c>
      <c r="F38" s="70" t="s">
        <v>15</v>
      </c>
      <c r="G38" s="71">
        <v>44963</v>
      </c>
      <c r="H38" s="63">
        <v>124</v>
      </c>
      <c r="I38" s="63">
        <v>255.39500000000001</v>
      </c>
      <c r="J38" s="72">
        <v>332.07</v>
      </c>
    </row>
    <row r="39" spans="1:10" ht="32.25" thickBot="1">
      <c r="A39" s="70" t="s">
        <v>66</v>
      </c>
      <c r="B39" s="70" t="s">
        <v>22</v>
      </c>
      <c r="C39" s="70" t="s">
        <v>18</v>
      </c>
      <c r="D39" s="70" t="s">
        <v>23</v>
      </c>
      <c r="E39" s="70" t="s">
        <v>14</v>
      </c>
      <c r="F39" s="70" t="s">
        <v>28</v>
      </c>
      <c r="G39" s="71">
        <v>44964</v>
      </c>
      <c r="H39" s="63">
        <v>195</v>
      </c>
      <c r="I39" s="63">
        <v>421.02</v>
      </c>
      <c r="J39" s="72">
        <v>128.38</v>
      </c>
    </row>
    <row r="40" spans="1:10" ht="32.25" thickBot="1">
      <c r="A40" s="70" t="s">
        <v>67</v>
      </c>
      <c r="B40" s="70" t="s">
        <v>22</v>
      </c>
      <c r="C40" s="70" t="s">
        <v>31</v>
      </c>
      <c r="D40" s="70" t="s">
        <v>23</v>
      </c>
      <c r="E40" s="70" t="s">
        <v>14</v>
      </c>
      <c r="F40" s="70" t="s">
        <v>15</v>
      </c>
      <c r="G40" s="71">
        <v>44965</v>
      </c>
      <c r="H40" s="63">
        <v>248.5</v>
      </c>
      <c r="I40" s="63">
        <v>91.23</v>
      </c>
      <c r="J40" s="72">
        <v>381.21</v>
      </c>
    </row>
    <row r="41" spans="1:10" ht="32.25" thickBot="1">
      <c r="A41" s="70" t="s">
        <v>68</v>
      </c>
      <c r="B41" s="70" t="s">
        <v>11</v>
      </c>
      <c r="C41" s="70" t="s">
        <v>18</v>
      </c>
      <c r="D41" s="70" t="s">
        <v>19</v>
      </c>
      <c r="E41" s="70" t="s">
        <v>24</v>
      </c>
      <c r="F41" s="70" t="s">
        <v>15</v>
      </c>
      <c r="G41" s="71">
        <v>44966</v>
      </c>
      <c r="H41" s="63">
        <v>65</v>
      </c>
      <c r="I41" s="63">
        <v>480.59</v>
      </c>
      <c r="J41" s="72">
        <v>330.43</v>
      </c>
    </row>
    <row r="42" spans="1:10" ht="32.25" thickBot="1">
      <c r="A42" s="70" t="s">
        <v>69</v>
      </c>
      <c r="B42" s="70" t="s">
        <v>11</v>
      </c>
      <c r="C42" s="70" t="s">
        <v>50</v>
      </c>
      <c r="D42" s="70" t="s">
        <v>42</v>
      </c>
      <c r="E42" s="70" t="s">
        <v>24</v>
      </c>
      <c r="F42" s="70" t="s">
        <v>20</v>
      </c>
      <c r="G42" s="71">
        <v>44967</v>
      </c>
      <c r="H42" s="63">
        <v>49</v>
      </c>
      <c r="I42" s="63">
        <v>210.87</v>
      </c>
      <c r="J42" s="72">
        <v>267.19</v>
      </c>
    </row>
    <row r="43" spans="1:10" ht="32.25" thickBot="1">
      <c r="A43" s="70" t="s">
        <v>70</v>
      </c>
      <c r="B43" s="70" t="s">
        <v>11</v>
      </c>
      <c r="C43" s="70" t="s">
        <v>26</v>
      </c>
      <c r="D43" s="70" t="s">
        <v>27</v>
      </c>
      <c r="E43" s="70" t="s">
        <v>14</v>
      </c>
      <c r="F43" s="70" t="s">
        <v>15</v>
      </c>
      <c r="G43" s="71">
        <v>44968</v>
      </c>
      <c r="H43" s="63">
        <v>363</v>
      </c>
      <c r="I43" s="63">
        <v>423.89</v>
      </c>
      <c r="J43" s="72">
        <v>50.46</v>
      </c>
    </row>
    <row r="44" spans="1:10" ht="32.25" thickBot="1">
      <c r="A44" s="70" t="s">
        <v>71</v>
      </c>
      <c r="B44" s="70" t="s">
        <v>48</v>
      </c>
      <c r="C44" s="70" t="s">
        <v>26</v>
      </c>
      <c r="D44" s="70" t="s">
        <v>42</v>
      </c>
      <c r="E44" s="70" t="s">
        <v>24</v>
      </c>
      <c r="F44" s="70" t="s">
        <v>28</v>
      </c>
      <c r="G44" s="71">
        <v>44969</v>
      </c>
      <c r="H44" s="63">
        <v>49</v>
      </c>
      <c r="I44" s="63">
        <v>316.24</v>
      </c>
      <c r="J44" s="72">
        <v>192.34</v>
      </c>
    </row>
    <row r="45" spans="1:10" ht="32.25" thickBot="1">
      <c r="A45" s="70" t="s">
        <v>72</v>
      </c>
      <c r="B45" s="70" t="s">
        <v>17</v>
      </c>
      <c r="C45" s="70" t="s">
        <v>26</v>
      </c>
      <c r="D45" s="70" t="s">
        <v>42</v>
      </c>
      <c r="E45" s="70" t="s">
        <v>24</v>
      </c>
      <c r="F45" s="70" t="s">
        <v>28</v>
      </c>
      <c r="G45" s="71">
        <v>44970</v>
      </c>
      <c r="H45" s="63">
        <v>356</v>
      </c>
      <c r="I45" s="63">
        <v>369</v>
      </c>
      <c r="J45" s="72">
        <v>203.43</v>
      </c>
    </row>
    <row r="46" spans="1:10" ht="32.25" thickBot="1">
      <c r="A46" s="70" t="s">
        <v>73</v>
      </c>
      <c r="B46" s="70" t="s">
        <v>17</v>
      </c>
      <c r="C46" s="70" t="s">
        <v>31</v>
      </c>
      <c r="D46" s="70" t="s">
        <v>42</v>
      </c>
      <c r="E46" s="70" t="s">
        <v>14</v>
      </c>
      <c r="F46" s="70" t="s">
        <v>20</v>
      </c>
      <c r="G46" s="71">
        <v>44971</v>
      </c>
      <c r="H46" s="63">
        <v>470</v>
      </c>
      <c r="I46" s="63">
        <v>255.39500000000001</v>
      </c>
      <c r="J46" s="72">
        <v>94.56</v>
      </c>
    </row>
    <row r="47" spans="1:10" ht="32.25" thickBot="1">
      <c r="A47" s="70" t="s">
        <v>74</v>
      </c>
      <c r="B47" s="70" t="s">
        <v>17</v>
      </c>
      <c r="C47" s="70" t="s">
        <v>50</v>
      </c>
      <c r="D47" s="70" t="s">
        <v>13</v>
      </c>
      <c r="E47" s="70" t="s">
        <v>14</v>
      </c>
      <c r="F47" s="70" t="s">
        <v>28</v>
      </c>
      <c r="G47" s="71">
        <v>44972</v>
      </c>
      <c r="H47" s="63">
        <v>246</v>
      </c>
      <c r="I47" s="63">
        <v>254.9</v>
      </c>
      <c r="J47" s="72">
        <v>33.83</v>
      </c>
    </row>
    <row r="48" spans="1:10" ht="32.25" thickBot="1">
      <c r="A48" s="70" t="s">
        <v>75</v>
      </c>
      <c r="B48" s="70" t="s">
        <v>17</v>
      </c>
      <c r="C48" s="70" t="s">
        <v>18</v>
      </c>
      <c r="D48" s="70" t="s">
        <v>23</v>
      </c>
      <c r="E48" s="70" t="s">
        <v>14</v>
      </c>
      <c r="F48" s="70" t="s">
        <v>28</v>
      </c>
      <c r="G48" s="71">
        <v>44973</v>
      </c>
      <c r="H48" s="63">
        <v>298</v>
      </c>
      <c r="I48" s="63">
        <v>273.93</v>
      </c>
      <c r="J48" s="72">
        <v>311.14</v>
      </c>
    </row>
    <row r="49" spans="1:10" ht="32.25" thickBot="1">
      <c r="A49" s="70" t="s">
        <v>76</v>
      </c>
      <c r="B49" s="70" t="s">
        <v>11</v>
      </c>
      <c r="C49" s="70" t="s">
        <v>12</v>
      </c>
      <c r="D49" s="70" t="s">
        <v>42</v>
      </c>
      <c r="E49" s="70" t="s">
        <v>24</v>
      </c>
      <c r="F49" s="70" t="s">
        <v>28</v>
      </c>
      <c r="G49" s="71">
        <v>44974</v>
      </c>
      <c r="H49" s="63">
        <v>271</v>
      </c>
      <c r="I49" s="63">
        <v>259.43</v>
      </c>
      <c r="J49" s="72">
        <v>50.57</v>
      </c>
    </row>
    <row r="50" spans="1:10" ht="32.25" thickBot="1">
      <c r="A50" s="70" t="s">
        <v>77</v>
      </c>
      <c r="B50" s="70" t="s">
        <v>48</v>
      </c>
      <c r="C50" s="70" t="s">
        <v>18</v>
      </c>
      <c r="D50" s="70" t="s">
        <v>23</v>
      </c>
      <c r="E50" s="70" t="s">
        <v>24</v>
      </c>
      <c r="F50" s="70" t="s">
        <v>15</v>
      </c>
      <c r="G50" s="71">
        <v>44975</v>
      </c>
      <c r="H50" s="63">
        <v>225</v>
      </c>
      <c r="I50" s="63">
        <v>296.08999999999997</v>
      </c>
      <c r="J50" s="72">
        <v>238.53</v>
      </c>
    </row>
    <row r="51" spans="1:10" ht="32.25" thickBot="1">
      <c r="A51" s="70" t="s">
        <v>78</v>
      </c>
      <c r="B51" s="70"/>
      <c r="C51" s="70" t="s">
        <v>12</v>
      </c>
      <c r="D51" s="70" t="s">
        <v>19</v>
      </c>
      <c r="E51" s="70" t="s">
        <v>14</v>
      </c>
      <c r="F51" s="70" t="s">
        <v>15</v>
      </c>
      <c r="G51" s="71">
        <v>44976</v>
      </c>
      <c r="H51" s="63">
        <v>156</v>
      </c>
      <c r="I51" s="63">
        <v>19.55</v>
      </c>
      <c r="J51" s="72">
        <v>374.71</v>
      </c>
    </row>
    <row r="52" spans="1:10" ht="32.25" thickBot="1">
      <c r="A52" s="70" t="s">
        <v>79</v>
      </c>
      <c r="B52" s="70" t="s">
        <v>11</v>
      </c>
      <c r="C52" s="70" t="s">
        <v>18</v>
      </c>
      <c r="D52" s="70" t="s">
        <v>27</v>
      </c>
      <c r="E52" s="70" t="s">
        <v>14</v>
      </c>
      <c r="F52" s="70" t="s">
        <v>28</v>
      </c>
      <c r="G52" s="71">
        <v>44977</v>
      </c>
      <c r="H52" s="63">
        <v>345</v>
      </c>
      <c r="I52" s="63">
        <v>200.78</v>
      </c>
      <c r="J52" s="72">
        <v>350.69</v>
      </c>
    </row>
    <row r="53" spans="1:10" ht="32.25" thickBot="1">
      <c r="A53" s="70" t="s">
        <v>80</v>
      </c>
      <c r="B53" s="70" t="s">
        <v>48</v>
      </c>
      <c r="C53" s="70" t="s">
        <v>50</v>
      </c>
      <c r="D53" s="70" t="s">
        <v>19</v>
      </c>
      <c r="E53" s="70" t="s">
        <v>14</v>
      </c>
      <c r="F53" s="70" t="s">
        <v>20</v>
      </c>
      <c r="G53" s="71">
        <v>44978</v>
      </c>
      <c r="H53" s="63">
        <v>177</v>
      </c>
      <c r="I53" s="63">
        <v>305.06</v>
      </c>
      <c r="J53" s="72">
        <v>112.55</v>
      </c>
    </row>
    <row r="54" spans="1:10" ht="32.25" thickBot="1">
      <c r="A54" s="70" t="s">
        <v>81</v>
      </c>
      <c r="B54" s="70" t="s">
        <v>11</v>
      </c>
      <c r="C54" s="70" t="s">
        <v>12</v>
      </c>
      <c r="D54" s="70" t="s">
        <v>19</v>
      </c>
      <c r="E54" s="70" t="s">
        <v>24</v>
      </c>
      <c r="F54" s="70" t="s">
        <v>15</v>
      </c>
      <c r="G54" s="71">
        <v>44979</v>
      </c>
      <c r="H54" s="63">
        <v>101</v>
      </c>
      <c r="I54" s="63">
        <v>300.87</v>
      </c>
      <c r="J54" s="72">
        <v>340.88</v>
      </c>
    </row>
    <row r="55" spans="1:10" ht="32.25" thickBot="1">
      <c r="A55" s="70" t="s">
        <v>82</v>
      </c>
      <c r="B55" s="70" t="s">
        <v>17</v>
      </c>
      <c r="C55" s="70" t="s">
        <v>31</v>
      </c>
      <c r="D55" s="70" t="s">
        <v>13</v>
      </c>
      <c r="E55" s="70" t="s">
        <v>24</v>
      </c>
      <c r="F55" s="70" t="s">
        <v>20</v>
      </c>
      <c r="G55" s="71">
        <v>44980</v>
      </c>
      <c r="H55" s="63">
        <v>362</v>
      </c>
      <c r="I55" s="63">
        <v>397.51</v>
      </c>
      <c r="J55" s="72">
        <v>2.13</v>
      </c>
    </row>
    <row r="56" spans="1:10" ht="32.25" thickBot="1">
      <c r="A56" s="70" t="s">
        <v>83</v>
      </c>
      <c r="B56" s="70" t="s">
        <v>11</v>
      </c>
      <c r="C56" s="70" t="s">
        <v>18</v>
      </c>
      <c r="D56" s="70" t="s">
        <v>27</v>
      </c>
      <c r="E56" s="70" t="s">
        <v>24</v>
      </c>
      <c r="F56" s="70" t="s">
        <v>28</v>
      </c>
      <c r="G56" s="71">
        <v>44981</v>
      </c>
      <c r="H56" s="63">
        <v>68</v>
      </c>
      <c r="I56" s="63">
        <v>329.23</v>
      </c>
      <c r="J56" s="72">
        <v>9.0399999999999991</v>
      </c>
    </row>
    <row r="57" spans="1:10" ht="32.25" thickBot="1">
      <c r="A57" s="70" t="s">
        <v>84</v>
      </c>
      <c r="B57" s="70" t="s">
        <v>17</v>
      </c>
      <c r="C57" s="70" t="s">
        <v>18</v>
      </c>
      <c r="D57" s="70" t="s">
        <v>19</v>
      </c>
      <c r="E57" s="70" t="s">
        <v>24</v>
      </c>
      <c r="F57" s="70" t="s">
        <v>28</v>
      </c>
      <c r="G57" s="71">
        <v>44982</v>
      </c>
      <c r="H57" s="63">
        <v>68</v>
      </c>
      <c r="I57" s="63">
        <v>496.11</v>
      </c>
      <c r="J57" s="72">
        <v>241.82</v>
      </c>
    </row>
    <row r="58" spans="1:10" ht="32.25" thickBot="1">
      <c r="A58" s="70" t="s">
        <v>85</v>
      </c>
      <c r="B58" s="70" t="s">
        <v>17</v>
      </c>
      <c r="C58" s="70" t="s">
        <v>12</v>
      </c>
      <c r="D58" s="70" t="s">
        <v>19</v>
      </c>
      <c r="E58" s="70" t="s">
        <v>14</v>
      </c>
      <c r="F58" s="70" t="s">
        <v>15</v>
      </c>
      <c r="G58" s="71">
        <v>44983</v>
      </c>
      <c r="H58" s="63">
        <v>313</v>
      </c>
      <c r="I58" s="63">
        <v>145.51</v>
      </c>
      <c r="J58" s="72">
        <v>147.19</v>
      </c>
    </row>
    <row r="59" spans="1:10" ht="32.25" thickBot="1">
      <c r="A59" s="70" t="s">
        <v>86</v>
      </c>
      <c r="B59" s="70" t="s">
        <v>22</v>
      </c>
      <c r="C59" s="70" t="s">
        <v>31</v>
      </c>
      <c r="D59" s="70" t="s">
        <v>27</v>
      </c>
      <c r="E59" s="70" t="s">
        <v>14</v>
      </c>
      <c r="F59" s="70" t="s">
        <v>28</v>
      </c>
      <c r="G59" s="71">
        <v>44984</v>
      </c>
      <c r="H59" s="63">
        <v>178</v>
      </c>
      <c r="I59" s="63">
        <v>182.78</v>
      </c>
      <c r="J59" s="72">
        <v>155.81</v>
      </c>
    </row>
    <row r="60" spans="1:10" ht="32.25" thickBot="1">
      <c r="A60" s="70" t="s">
        <v>87</v>
      </c>
      <c r="B60" s="70" t="s">
        <v>11</v>
      </c>
      <c r="C60" s="70" t="s">
        <v>31</v>
      </c>
      <c r="D60" s="70" t="s">
        <v>27</v>
      </c>
      <c r="E60" s="70" t="s">
        <v>14</v>
      </c>
      <c r="F60" s="70" t="s">
        <v>15</v>
      </c>
      <c r="G60" s="71">
        <v>44985</v>
      </c>
      <c r="H60" s="63">
        <v>278</v>
      </c>
      <c r="I60" s="63">
        <v>195</v>
      </c>
      <c r="J60" s="72">
        <v>226.65</v>
      </c>
    </row>
    <row r="61" spans="1:10" ht="32.25" thickBot="1">
      <c r="A61" s="70" t="s">
        <v>88</v>
      </c>
      <c r="B61" s="70" t="s">
        <v>22</v>
      </c>
      <c r="C61" s="70" t="s">
        <v>50</v>
      </c>
      <c r="D61" s="70" t="s">
        <v>19</v>
      </c>
      <c r="E61" s="70" t="s">
        <v>14</v>
      </c>
      <c r="F61" s="70" t="s">
        <v>28</v>
      </c>
      <c r="G61" s="71">
        <v>44986</v>
      </c>
      <c r="H61" s="63">
        <v>372</v>
      </c>
      <c r="I61" s="63">
        <v>235.58</v>
      </c>
      <c r="J61" s="72">
        <v>78.33</v>
      </c>
    </row>
    <row r="62" spans="1:10" ht="32.25" thickBot="1">
      <c r="A62" s="70" t="s">
        <v>89</v>
      </c>
      <c r="B62" s="70" t="s">
        <v>11</v>
      </c>
      <c r="C62" s="70" t="s">
        <v>31</v>
      </c>
      <c r="D62" s="70" t="s">
        <v>27</v>
      </c>
      <c r="E62" s="70" t="s">
        <v>24</v>
      </c>
      <c r="F62" s="70" t="s">
        <v>28</v>
      </c>
      <c r="G62" s="71">
        <v>44987</v>
      </c>
      <c r="H62" s="63">
        <v>54</v>
      </c>
      <c r="I62" s="63">
        <v>418.82</v>
      </c>
      <c r="J62" s="72">
        <v>86.28</v>
      </c>
    </row>
    <row r="63" spans="1:10" ht="32.25" thickBot="1">
      <c r="A63" s="70" t="s">
        <v>90</v>
      </c>
      <c r="B63" s="70" t="s">
        <v>11</v>
      </c>
      <c r="C63" s="70" t="s">
        <v>31</v>
      </c>
      <c r="D63" s="70" t="s">
        <v>19</v>
      </c>
      <c r="E63" s="70" t="s">
        <v>24</v>
      </c>
      <c r="F63" s="70" t="s">
        <v>15</v>
      </c>
      <c r="G63" s="71">
        <v>44988</v>
      </c>
      <c r="H63" s="63">
        <v>354</v>
      </c>
      <c r="I63" s="63">
        <v>121.72</v>
      </c>
      <c r="J63" s="72">
        <v>194.87</v>
      </c>
    </row>
    <row r="64" spans="1:10" ht="32.25" thickBot="1">
      <c r="A64" s="70" t="s">
        <v>91</v>
      </c>
      <c r="B64" s="70" t="s">
        <v>22</v>
      </c>
      <c r="C64" s="70" t="s">
        <v>31</v>
      </c>
      <c r="D64" s="70" t="s">
        <v>19</v>
      </c>
      <c r="E64" s="70" t="s">
        <v>14</v>
      </c>
      <c r="F64" s="70" t="s">
        <v>15</v>
      </c>
      <c r="G64" s="71">
        <v>44989</v>
      </c>
      <c r="H64" s="63">
        <v>190</v>
      </c>
      <c r="I64" s="63">
        <v>389.12</v>
      </c>
      <c r="J64" s="72">
        <v>302.19</v>
      </c>
    </row>
    <row r="65" spans="1:10" ht="32.25" thickBot="1">
      <c r="A65" s="70" t="s">
        <v>92</v>
      </c>
      <c r="B65" s="70"/>
      <c r="C65" s="70" t="s">
        <v>26</v>
      </c>
      <c r="D65" s="70" t="s">
        <v>13</v>
      </c>
      <c r="E65" s="70" t="s">
        <v>14</v>
      </c>
      <c r="F65" s="70" t="s">
        <v>15</v>
      </c>
      <c r="G65" s="71">
        <v>44990</v>
      </c>
      <c r="H65" s="63">
        <v>179</v>
      </c>
      <c r="I65" s="63">
        <v>205.63</v>
      </c>
      <c r="J65" s="72">
        <v>248.56</v>
      </c>
    </row>
    <row r="66" spans="1:10" ht="32.25" thickBot="1">
      <c r="A66" s="70" t="s">
        <v>93</v>
      </c>
      <c r="B66" s="70" t="s">
        <v>11</v>
      </c>
      <c r="C66" s="70" t="s">
        <v>50</v>
      </c>
      <c r="D66" s="70" t="s">
        <v>42</v>
      </c>
      <c r="E66" s="70" t="s">
        <v>24</v>
      </c>
      <c r="F66" s="70" t="s">
        <v>28</v>
      </c>
      <c r="G66" s="71">
        <v>44991</v>
      </c>
      <c r="H66" s="63">
        <v>365</v>
      </c>
      <c r="I66" s="63">
        <v>302.92</v>
      </c>
      <c r="J66" s="72">
        <v>120.35</v>
      </c>
    </row>
    <row r="67" spans="1:10" ht="32.25" thickBot="1">
      <c r="A67" s="70" t="s">
        <v>94</v>
      </c>
      <c r="B67" s="70" t="s">
        <v>48</v>
      </c>
      <c r="C67" s="70" t="s">
        <v>18</v>
      </c>
      <c r="D67" s="70" t="s">
        <v>19</v>
      </c>
      <c r="E67" s="70" t="s">
        <v>14</v>
      </c>
      <c r="F67" s="70" t="s">
        <v>28</v>
      </c>
      <c r="G67" s="71">
        <v>44992</v>
      </c>
      <c r="H67" s="63">
        <v>200</v>
      </c>
      <c r="I67" s="63">
        <v>318.11</v>
      </c>
      <c r="J67" s="72">
        <v>173.27</v>
      </c>
    </row>
    <row r="68" spans="1:10" ht="32.25" thickBot="1">
      <c r="A68" s="70" t="s">
        <v>95</v>
      </c>
      <c r="B68" s="70" t="s">
        <v>17</v>
      </c>
      <c r="C68" s="70" t="s">
        <v>12</v>
      </c>
      <c r="D68" s="70" t="s">
        <v>23</v>
      </c>
      <c r="E68" s="70" t="s">
        <v>24</v>
      </c>
      <c r="F68" s="70" t="s">
        <v>20</v>
      </c>
      <c r="G68" s="71">
        <v>44993</v>
      </c>
      <c r="H68" s="63">
        <v>164</v>
      </c>
      <c r="I68" s="63">
        <v>189.56</v>
      </c>
      <c r="J68" s="72">
        <v>69.92</v>
      </c>
    </row>
    <row r="69" spans="1:10" ht="32.25" thickBot="1">
      <c r="A69" s="70" t="s">
        <v>96</v>
      </c>
      <c r="B69" s="70" t="s">
        <v>22</v>
      </c>
      <c r="C69" s="70" t="s">
        <v>18</v>
      </c>
      <c r="D69" s="70" t="s">
        <v>42</v>
      </c>
      <c r="E69" s="70" t="s">
        <v>14</v>
      </c>
      <c r="F69" s="70" t="s">
        <v>15</v>
      </c>
      <c r="G69" s="71">
        <v>44994</v>
      </c>
      <c r="H69" s="63">
        <v>431</v>
      </c>
      <c r="I69" s="63">
        <v>258.74</v>
      </c>
      <c r="J69" s="72">
        <v>31.7</v>
      </c>
    </row>
    <row r="70" spans="1:10" ht="32.25" thickBot="1">
      <c r="A70" s="70" t="s">
        <v>97</v>
      </c>
      <c r="B70" s="70" t="s">
        <v>17</v>
      </c>
      <c r="C70" s="70" t="s">
        <v>50</v>
      </c>
      <c r="D70" s="70" t="s">
        <v>42</v>
      </c>
      <c r="E70" s="70" t="s">
        <v>14</v>
      </c>
      <c r="F70" s="70" t="s">
        <v>28</v>
      </c>
      <c r="G70" s="71">
        <v>44995</v>
      </c>
      <c r="H70" s="63">
        <v>197</v>
      </c>
      <c r="I70" s="63">
        <v>209.45</v>
      </c>
      <c r="J70" s="72">
        <v>313.51</v>
      </c>
    </row>
    <row r="71" spans="1:10" ht="32.25" thickBot="1">
      <c r="A71" s="70" t="s">
        <v>98</v>
      </c>
      <c r="B71" s="70" t="s">
        <v>48</v>
      </c>
      <c r="C71" s="70" t="s">
        <v>12</v>
      </c>
      <c r="D71" s="70" t="s">
        <v>42</v>
      </c>
      <c r="E71" s="70" t="s">
        <v>14</v>
      </c>
      <c r="F71" s="70" t="s">
        <v>28</v>
      </c>
      <c r="G71" s="71">
        <v>44996</v>
      </c>
      <c r="H71" s="63">
        <v>16</v>
      </c>
      <c r="I71" s="63">
        <v>39.22</v>
      </c>
      <c r="J71" s="72">
        <v>107.62</v>
      </c>
    </row>
    <row r="72" spans="1:10" ht="32.25" thickBot="1">
      <c r="A72" s="70" t="s">
        <v>99</v>
      </c>
      <c r="B72" s="70" t="s">
        <v>48</v>
      </c>
      <c r="C72" s="70" t="s">
        <v>50</v>
      </c>
      <c r="D72" s="70" t="s">
        <v>13</v>
      </c>
      <c r="E72" s="70" t="s">
        <v>14</v>
      </c>
      <c r="F72" s="70" t="s">
        <v>15</v>
      </c>
      <c r="G72" s="71">
        <v>44997</v>
      </c>
      <c r="H72" s="63">
        <v>142</v>
      </c>
      <c r="I72" s="63">
        <v>221.4</v>
      </c>
      <c r="J72" s="72">
        <v>72.75</v>
      </c>
    </row>
    <row r="73" spans="1:10" ht="32.25" thickBot="1">
      <c r="A73" s="70" t="s">
        <v>100</v>
      </c>
      <c r="B73" s="70" t="s">
        <v>48</v>
      </c>
      <c r="C73" s="70" t="s">
        <v>31</v>
      </c>
      <c r="D73" s="70" t="s">
        <v>19</v>
      </c>
      <c r="E73" s="70" t="s">
        <v>14</v>
      </c>
      <c r="F73" s="70" t="s">
        <v>20</v>
      </c>
      <c r="G73" s="71">
        <v>44998</v>
      </c>
      <c r="H73" s="63">
        <v>244</v>
      </c>
      <c r="I73" s="63">
        <v>53.21</v>
      </c>
      <c r="J73" s="72">
        <v>277.26</v>
      </c>
    </row>
    <row r="74" spans="1:10" ht="32.25" thickBot="1">
      <c r="A74" s="70" t="s">
        <v>101</v>
      </c>
      <c r="B74" s="70" t="s">
        <v>22</v>
      </c>
      <c r="C74" s="70" t="s">
        <v>12</v>
      </c>
      <c r="D74" s="70" t="s">
        <v>13</v>
      </c>
      <c r="E74" s="70" t="s">
        <v>14</v>
      </c>
      <c r="F74" s="70" t="s">
        <v>15</v>
      </c>
      <c r="G74" s="71">
        <v>44999</v>
      </c>
      <c r="H74" s="63">
        <v>54</v>
      </c>
      <c r="I74" s="63">
        <v>205.49</v>
      </c>
      <c r="J74" s="72">
        <v>247.98</v>
      </c>
    </row>
    <row r="75" spans="1:10" ht="32.25" thickBot="1">
      <c r="A75" s="70" t="s">
        <v>102</v>
      </c>
      <c r="B75" s="70" t="s">
        <v>48</v>
      </c>
      <c r="C75" s="70" t="s">
        <v>31</v>
      </c>
      <c r="D75" s="70" t="s">
        <v>19</v>
      </c>
      <c r="E75" s="70" t="s">
        <v>14</v>
      </c>
      <c r="F75" s="70" t="s">
        <v>20</v>
      </c>
      <c r="G75" s="71">
        <v>45000</v>
      </c>
      <c r="H75" s="63">
        <v>323</v>
      </c>
      <c r="I75" s="63">
        <v>298.49</v>
      </c>
      <c r="J75" s="72">
        <v>254.01</v>
      </c>
    </row>
    <row r="76" spans="1:10" ht="32.25" thickBot="1">
      <c r="A76" s="70" t="s">
        <v>103</v>
      </c>
      <c r="B76" s="70" t="s">
        <v>22</v>
      </c>
      <c r="C76" s="70" t="s">
        <v>18</v>
      </c>
      <c r="D76" s="70" t="s">
        <v>13</v>
      </c>
      <c r="E76" s="70" t="s">
        <v>24</v>
      </c>
      <c r="F76" s="70" t="s">
        <v>28</v>
      </c>
      <c r="G76" s="71">
        <v>45001</v>
      </c>
      <c r="H76" s="63">
        <v>258</v>
      </c>
      <c r="I76" s="63">
        <v>291.81</v>
      </c>
      <c r="J76" s="72">
        <v>93.1</v>
      </c>
    </row>
    <row r="77" spans="1:10" ht="32.25" thickBot="1">
      <c r="A77" s="70" t="s">
        <v>104</v>
      </c>
      <c r="B77" s="70" t="s">
        <v>48</v>
      </c>
      <c r="C77" s="70" t="s">
        <v>18</v>
      </c>
      <c r="D77" s="70" t="s">
        <v>13</v>
      </c>
      <c r="E77" s="70" t="s">
        <v>24</v>
      </c>
      <c r="F77" s="70" t="s">
        <v>20</v>
      </c>
      <c r="G77" s="71">
        <v>45002</v>
      </c>
      <c r="H77" s="63">
        <v>40</v>
      </c>
      <c r="I77" s="63">
        <v>333</v>
      </c>
      <c r="J77" s="72">
        <v>94.59</v>
      </c>
    </row>
    <row r="78" spans="1:10" ht="32.25" thickBot="1">
      <c r="A78" s="70" t="s">
        <v>105</v>
      </c>
      <c r="B78" s="70" t="s">
        <v>17</v>
      </c>
      <c r="C78" s="70" t="s">
        <v>12</v>
      </c>
      <c r="D78" s="70" t="s">
        <v>23</v>
      </c>
      <c r="E78" s="70" t="s">
        <v>24</v>
      </c>
      <c r="F78" s="70" t="s">
        <v>28</v>
      </c>
      <c r="G78" s="71">
        <v>45003</v>
      </c>
      <c r="H78" s="63">
        <v>32</v>
      </c>
      <c r="I78" s="63">
        <v>52.15</v>
      </c>
      <c r="J78" s="72">
        <v>89.88</v>
      </c>
    </row>
    <row r="79" spans="1:10" ht="32.25" thickBot="1">
      <c r="A79" s="70" t="s">
        <v>106</v>
      </c>
      <c r="B79" s="70" t="s">
        <v>17</v>
      </c>
      <c r="C79" s="70" t="s">
        <v>12</v>
      </c>
      <c r="D79" s="70" t="s">
        <v>13</v>
      </c>
      <c r="E79" s="70" t="s">
        <v>24</v>
      </c>
      <c r="F79" s="70" t="s">
        <v>15</v>
      </c>
      <c r="G79" s="71">
        <v>45004</v>
      </c>
      <c r="H79" s="63">
        <v>435</v>
      </c>
      <c r="I79" s="63">
        <v>327.8</v>
      </c>
      <c r="J79" s="72">
        <v>71.150000000000006</v>
      </c>
    </row>
    <row r="80" spans="1:10" ht="32.25" thickBot="1">
      <c r="A80" s="70" t="s">
        <v>107</v>
      </c>
      <c r="B80" s="70" t="s">
        <v>11</v>
      </c>
      <c r="C80" s="70" t="s">
        <v>50</v>
      </c>
      <c r="D80" s="70" t="s">
        <v>27</v>
      </c>
      <c r="E80" s="70" t="s">
        <v>24</v>
      </c>
      <c r="F80" s="70" t="s">
        <v>15</v>
      </c>
      <c r="G80" s="71">
        <v>45005</v>
      </c>
      <c r="H80" s="63">
        <v>403</v>
      </c>
      <c r="I80" s="63">
        <v>159.51</v>
      </c>
      <c r="J80" s="72">
        <v>262.98</v>
      </c>
    </row>
    <row r="81" spans="1:10" ht="32.25" thickBot="1">
      <c r="A81" s="70" t="s">
        <v>108</v>
      </c>
      <c r="B81" s="70" t="s">
        <v>17</v>
      </c>
      <c r="C81" s="70" t="s">
        <v>50</v>
      </c>
      <c r="D81" s="70" t="s">
        <v>23</v>
      </c>
      <c r="E81" s="70" t="s">
        <v>14</v>
      </c>
      <c r="F81" s="70" t="s">
        <v>15</v>
      </c>
      <c r="G81" s="71">
        <v>45006</v>
      </c>
      <c r="H81" s="63">
        <v>169</v>
      </c>
      <c r="I81" s="63">
        <v>255.39500000000001</v>
      </c>
      <c r="J81" s="72">
        <v>339.51</v>
      </c>
    </row>
    <row r="82" spans="1:10" ht="32.25" thickBot="1">
      <c r="A82" s="70" t="s">
        <v>109</v>
      </c>
      <c r="B82" s="70" t="s">
        <v>11</v>
      </c>
      <c r="C82" s="70" t="s">
        <v>31</v>
      </c>
      <c r="D82" s="70" t="s">
        <v>13</v>
      </c>
      <c r="E82" s="70" t="s">
        <v>14</v>
      </c>
      <c r="F82" s="70" t="s">
        <v>20</v>
      </c>
      <c r="G82" s="71">
        <v>45007</v>
      </c>
      <c r="H82" s="63">
        <v>372</v>
      </c>
      <c r="I82" s="63">
        <v>429.7</v>
      </c>
      <c r="J82" s="72">
        <v>290.27999999999997</v>
      </c>
    </row>
    <row r="83" spans="1:10" ht="32.25" thickBot="1">
      <c r="A83" s="70" t="s">
        <v>110</v>
      </c>
      <c r="B83" s="70" t="s">
        <v>17</v>
      </c>
      <c r="C83" s="70" t="s">
        <v>12</v>
      </c>
      <c r="D83" s="70" t="s">
        <v>42</v>
      </c>
      <c r="E83" s="70" t="s">
        <v>24</v>
      </c>
      <c r="F83" s="70" t="s">
        <v>28</v>
      </c>
      <c r="G83" s="71">
        <v>45008</v>
      </c>
      <c r="H83" s="63">
        <v>446</v>
      </c>
      <c r="I83" s="63">
        <v>9.4700000000000006</v>
      </c>
      <c r="J83" s="72">
        <v>317.25</v>
      </c>
    </row>
    <row r="84" spans="1:10" ht="32.25" thickBot="1">
      <c r="A84" s="70" t="s">
        <v>111</v>
      </c>
      <c r="B84" s="70" t="s">
        <v>22</v>
      </c>
      <c r="C84" s="70" t="s">
        <v>18</v>
      </c>
      <c r="D84" s="70" t="s">
        <v>27</v>
      </c>
      <c r="E84" s="70" t="s">
        <v>14</v>
      </c>
      <c r="F84" s="70" t="s">
        <v>15</v>
      </c>
      <c r="G84" s="71">
        <v>45009</v>
      </c>
      <c r="H84" s="63">
        <v>167</v>
      </c>
      <c r="I84" s="63">
        <v>296.26</v>
      </c>
      <c r="J84" s="72">
        <v>163.11000000000001</v>
      </c>
    </row>
    <row r="85" spans="1:10" ht="32.25" thickBot="1">
      <c r="A85" s="70" t="s">
        <v>112</v>
      </c>
      <c r="B85" s="70" t="s">
        <v>17</v>
      </c>
      <c r="C85" s="70" t="s">
        <v>50</v>
      </c>
      <c r="D85" s="70" t="s">
        <v>27</v>
      </c>
      <c r="E85" s="70" t="s">
        <v>24</v>
      </c>
      <c r="F85" s="70" t="s">
        <v>15</v>
      </c>
      <c r="G85" s="71">
        <v>45010</v>
      </c>
      <c r="H85" s="63">
        <v>48</v>
      </c>
      <c r="I85" s="63">
        <v>301.36</v>
      </c>
      <c r="J85" s="72">
        <v>262.32</v>
      </c>
    </row>
    <row r="86" spans="1:10" ht="32.25" thickBot="1">
      <c r="A86" s="70" t="s">
        <v>113</v>
      </c>
      <c r="B86" s="70" t="s">
        <v>11</v>
      </c>
      <c r="C86" s="70" t="s">
        <v>50</v>
      </c>
      <c r="D86" s="70" t="s">
        <v>27</v>
      </c>
      <c r="E86" s="70" t="s">
        <v>24</v>
      </c>
      <c r="F86" s="70" t="s">
        <v>28</v>
      </c>
      <c r="G86" s="71">
        <v>45011</v>
      </c>
      <c r="H86" s="63">
        <v>424</v>
      </c>
      <c r="I86" s="63">
        <v>201.35</v>
      </c>
      <c r="J86" s="72">
        <v>142.99</v>
      </c>
    </row>
    <row r="87" spans="1:10" ht="32.25" thickBot="1">
      <c r="A87" s="70" t="s">
        <v>114</v>
      </c>
      <c r="B87" s="70" t="s">
        <v>11</v>
      </c>
      <c r="C87" s="70" t="s">
        <v>18</v>
      </c>
      <c r="D87" s="70" t="s">
        <v>23</v>
      </c>
      <c r="E87" s="70" t="s">
        <v>14</v>
      </c>
      <c r="F87" s="70" t="s">
        <v>15</v>
      </c>
      <c r="G87" s="71">
        <v>45012</v>
      </c>
      <c r="H87" s="63">
        <v>91</v>
      </c>
      <c r="I87" s="63">
        <v>122.33</v>
      </c>
      <c r="J87" s="72">
        <v>211.15</v>
      </c>
    </row>
    <row r="88" spans="1:10" ht="32.25" thickBot="1">
      <c r="A88" s="70" t="s">
        <v>115</v>
      </c>
      <c r="B88" s="70" t="s">
        <v>48</v>
      </c>
      <c r="C88" s="70" t="s">
        <v>50</v>
      </c>
      <c r="D88" s="70" t="s">
        <v>13</v>
      </c>
      <c r="E88" s="70" t="s">
        <v>14</v>
      </c>
      <c r="F88" s="70" t="s">
        <v>28</v>
      </c>
      <c r="G88" s="71">
        <v>45013</v>
      </c>
      <c r="H88" s="63">
        <v>365</v>
      </c>
      <c r="I88" s="63">
        <v>121.16</v>
      </c>
      <c r="J88" s="72">
        <v>193.69</v>
      </c>
    </row>
    <row r="89" spans="1:10" ht="32.25" thickBot="1">
      <c r="A89" s="70" t="s">
        <v>116</v>
      </c>
      <c r="B89" s="70" t="s">
        <v>22</v>
      </c>
      <c r="C89" s="70" t="s">
        <v>31</v>
      </c>
      <c r="D89" s="70" t="s">
        <v>13</v>
      </c>
      <c r="E89" s="70" t="s">
        <v>14</v>
      </c>
      <c r="F89" s="70" t="s">
        <v>28</v>
      </c>
      <c r="G89" s="71">
        <v>45014</v>
      </c>
      <c r="H89" s="63">
        <v>267</v>
      </c>
      <c r="I89" s="63">
        <v>442.44</v>
      </c>
      <c r="J89" s="72">
        <v>72.400000000000006</v>
      </c>
    </row>
    <row r="90" spans="1:10" ht="32.25" thickBot="1">
      <c r="A90" s="70" t="s">
        <v>117</v>
      </c>
      <c r="B90" s="70" t="s">
        <v>17</v>
      </c>
      <c r="C90" s="70" t="s">
        <v>12</v>
      </c>
      <c r="D90" s="70" t="s">
        <v>42</v>
      </c>
      <c r="E90" s="70" t="s">
        <v>24</v>
      </c>
      <c r="F90" s="70" t="s">
        <v>28</v>
      </c>
      <c r="G90" s="71">
        <v>45015</v>
      </c>
      <c r="H90" s="63">
        <v>215</v>
      </c>
      <c r="I90" s="63">
        <v>223.8</v>
      </c>
      <c r="J90" s="72">
        <v>156.06</v>
      </c>
    </row>
    <row r="91" spans="1:10" ht="32.25" thickBot="1">
      <c r="A91" s="70" t="s">
        <v>118</v>
      </c>
      <c r="B91" s="70" t="s">
        <v>48</v>
      </c>
      <c r="C91" s="70" t="s">
        <v>18</v>
      </c>
      <c r="D91" s="70" t="s">
        <v>42</v>
      </c>
      <c r="E91" s="70" t="s">
        <v>14</v>
      </c>
      <c r="F91" s="70" t="s">
        <v>28</v>
      </c>
      <c r="G91" s="71">
        <v>45016</v>
      </c>
      <c r="H91" s="63">
        <v>86</v>
      </c>
      <c r="I91" s="63">
        <v>168.79</v>
      </c>
      <c r="J91" s="72">
        <v>385.6</v>
      </c>
    </row>
    <row r="92" spans="1:10" ht="32.25" thickBot="1">
      <c r="A92" s="70" t="s">
        <v>119</v>
      </c>
      <c r="B92" s="70" t="s">
        <v>17</v>
      </c>
      <c r="C92" s="70" t="s">
        <v>12</v>
      </c>
      <c r="D92" s="70" t="s">
        <v>27</v>
      </c>
      <c r="E92" s="70" t="s">
        <v>24</v>
      </c>
      <c r="F92" s="70" t="s">
        <v>28</v>
      </c>
      <c r="G92" s="71">
        <v>45017</v>
      </c>
      <c r="H92" s="63">
        <v>486</v>
      </c>
      <c r="I92" s="63">
        <v>227.14</v>
      </c>
      <c r="J92" s="72">
        <v>100.93</v>
      </c>
    </row>
    <row r="93" spans="1:10" ht="32.25" thickBot="1">
      <c r="A93" s="70" t="s">
        <v>120</v>
      </c>
      <c r="B93" s="70" t="s">
        <v>17</v>
      </c>
      <c r="C93" s="70" t="s">
        <v>50</v>
      </c>
      <c r="D93" s="70" t="s">
        <v>42</v>
      </c>
      <c r="E93" s="70" t="s">
        <v>24</v>
      </c>
      <c r="F93" s="70" t="s">
        <v>20</v>
      </c>
      <c r="G93" s="71">
        <v>45018</v>
      </c>
      <c r="H93" s="63">
        <v>21</v>
      </c>
      <c r="I93" s="63">
        <v>255.39500000000001</v>
      </c>
      <c r="J93" s="72">
        <v>55.25</v>
      </c>
    </row>
    <row r="94" spans="1:10" ht="32.25" thickBot="1">
      <c r="A94" s="70" t="s">
        <v>121</v>
      </c>
      <c r="B94" s="70" t="s">
        <v>48</v>
      </c>
      <c r="C94" s="70" t="s">
        <v>50</v>
      </c>
      <c r="D94" s="70" t="s">
        <v>23</v>
      </c>
      <c r="E94" s="70" t="s">
        <v>24</v>
      </c>
      <c r="F94" s="70" t="s">
        <v>15</v>
      </c>
      <c r="G94" s="71">
        <v>45019</v>
      </c>
      <c r="H94" s="63">
        <v>304</v>
      </c>
      <c r="I94" s="63">
        <v>77.150000000000006</v>
      </c>
      <c r="J94" s="72">
        <v>168.6</v>
      </c>
    </row>
    <row r="95" spans="1:10" ht="32.25" thickBot="1">
      <c r="A95" s="70" t="s">
        <v>122</v>
      </c>
      <c r="B95" s="70" t="s">
        <v>48</v>
      </c>
      <c r="C95" s="70" t="s">
        <v>18</v>
      </c>
      <c r="D95" s="70" t="s">
        <v>13</v>
      </c>
      <c r="E95" s="70" t="s">
        <v>14</v>
      </c>
      <c r="F95" s="70" t="s">
        <v>20</v>
      </c>
      <c r="G95" s="71">
        <v>45020</v>
      </c>
      <c r="H95" s="63">
        <v>459</v>
      </c>
      <c r="I95" s="63">
        <v>227.47</v>
      </c>
      <c r="J95" s="72">
        <v>316.55</v>
      </c>
    </row>
    <row r="96" spans="1:10" ht="32.25" thickBot="1">
      <c r="A96" s="70" t="s">
        <v>123</v>
      </c>
      <c r="B96" s="70" t="s">
        <v>48</v>
      </c>
      <c r="C96" s="70" t="s">
        <v>31</v>
      </c>
      <c r="D96" s="70" t="s">
        <v>27</v>
      </c>
      <c r="E96" s="70" t="s">
        <v>14</v>
      </c>
      <c r="F96" s="70" t="s">
        <v>15</v>
      </c>
      <c r="G96" s="71">
        <v>45021</v>
      </c>
      <c r="H96" s="63">
        <v>233</v>
      </c>
      <c r="I96" s="63">
        <v>296</v>
      </c>
      <c r="J96" s="72">
        <v>233.69</v>
      </c>
    </row>
    <row r="97" spans="1:10" ht="32.25" thickBot="1">
      <c r="A97" s="70" t="s">
        <v>124</v>
      </c>
      <c r="B97" s="70" t="s">
        <v>48</v>
      </c>
      <c r="C97" s="70" t="s">
        <v>26</v>
      </c>
      <c r="D97" s="70" t="s">
        <v>42</v>
      </c>
      <c r="E97" s="70" t="s">
        <v>24</v>
      </c>
      <c r="F97" s="70" t="s">
        <v>20</v>
      </c>
      <c r="G97" s="71">
        <v>45022</v>
      </c>
      <c r="H97" s="63">
        <v>22</v>
      </c>
      <c r="I97" s="63">
        <v>474.55</v>
      </c>
      <c r="J97" s="72">
        <v>273.02999999999997</v>
      </c>
    </row>
    <row r="98" spans="1:10" ht="32.25" thickBot="1">
      <c r="A98" s="70" t="s">
        <v>125</v>
      </c>
      <c r="B98" s="70" t="s">
        <v>48</v>
      </c>
      <c r="C98" s="70" t="s">
        <v>18</v>
      </c>
      <c r="D98" s="70" t="s">
        <v>23</v>
      </c>
      <c r="E98" s="70" t="s">
        <v>14</v>
      </c>
      <c r="F98" s="70" t="s">
        <v>28</v>
      </c>
      <c r="G98" s="71">
        <v>45023</v>
      </c>
      <c r="H98" s="63">
        <v>55</v>
      </c>
      <c r="I98" s="63">
        <v>130</v>
      </c>
      <c r="J98" s="72">
        <v>77.5</v>
      </c>
    </row>
    <row r="99" spans="1:10" ht="32.25" thickBot="1">
      <c r="A99" s="70" t="s">
        <v>126</v>
      </c>
      <c r="B99" s="70" t="s">
        <v>17</v>
      </c>
      <c r="C99" s="70" t="s">
        <v>26</v>
      </c>
      <c r="D99" s="70" t="s">
        <v>23</v>
      </c>
      <c r="E99" s="70" t="s">
        <v>14</v>
      </c>
      <c r="F99" s="70" t="s">
        <v>15</v>
      </c>
      <c r="G99" s="71">
        <v>45024</v>
      </c>
      <c r="H99" s="63">
        <v>164</v>
      </c>
      <c r="I99" s="63">
        <v>182.83</v>
      </c>
      <c r="J99" s="72">
        <v>248.34</v>
      </c>
    </row>
    <row r="100" spans="1:10" ht="32.25" thickBot="1">
      <c r="A100" s="70" t="s">
        <v>127</v>
      </c>
      <c r="B100" s="70" t="s">
        <v>48</v>
      </c>
      <c r="C100" s="70" t="s">
        <v>26</v>
      </c>
      <c r="D100" s="70" t="s">
        <v>42</v>
      </c>
      <c r="E100" s="70" t="s">
        <v>14</v>
      </c>
      <c r="F100" s="70" t="s">
        <v>15</v>
      </c>
      <c r="G100" s="71">
        <v>45025</v>
      </c>
      <c r="H100" s="63">
        <v>122</v>
      </c>
      <c r="I100" s="63">
        <v>192.78</v>
      </c>
      <c r="J100" s="72">
        <v>130.75</v>
      </c>
    </row>
    <row r="101" spans="1:10" ht="32.25" thickBot="1">
      <c r="A101" s="70" t="s">
        <v>128</v>
      </c>
      <c r="B101" s="70" t="s">
        <v>22</v>
      </c>
      <c r="C101" s="70" t="s">
        <v>31</v>
      </c>
      <c r="D101" s="70" t="s">
        <v>13</v>
      </c>
      <c r="E101" s="70" t="s">
        <v>24</v>
      </c>
      <c r="F101" s="70" t="s">
        <v>20</v>
      </c>
      <c r="G101" s="71">
        <v>45026</v>
      </c>
      <c r="H101" s="63">
        <v>242</v>
      </c>
      <c r="I101" s="63">
        <v>304.74</v>
      </c>
      <c r="J101" s="72">
        <v>334.05</v>
      </c>
    </row>
    <row r="102" spans="1:10" ht="32.25" thickBot="1">
      <c r="A102" s="70" t="s">
        <v>129</v>
      </c>
      <c r="B102" s="70" t="s">
        <v>11</v>
      </c>
      <c r="C102" s="70" t="s">
        <v>26</v>
      </c>
      <c r="D102" s="70" t="s">
        <v>42</v>
      </c>
      <c r="E102" s="70" t="s">
        <v>24</v>
      </c>
      <c r="F102" s="70" t="s">
        <v>20</v>
      </c>
      <c r="G102" s="71">
        <v>45027</v>
      </c>
      <c r="H102" s="63">
        <v>26</v>
      </c>
      <c r="I102" s="63">
        <v>181.58</v>
      </c>
      <c r="J102" s="72">
        <v>252.46</v>
      </c>
    </row>
    <row r="103" spans="1:10" ht="32.25" thickBot="1">
      <c r="A103" s="70" t="s">
        <v>130</v>
      </c>
      <c r="B103" s="70" t="s">
        <v>48</v>
      </c>
      <c r="C103" s="70" t="s">
        <v>26</v>
      </c>
      <c r="D103" s="70" t="s">
        <v>27</v>
      </c>
      <c r="E103" s="70" t="s">
        <v>14</v>
      </c>
      <c r="F103" s="70" t="s">
        <v>15</v>
      </c>
      <c r="G103" s="71">
        <v>45028</v>
      </c>
      <c r="H103" s="63">
        <v>369</v>
      </c>
      <c r="I103" s="63">
        <v>269.08999999999997</v>
      </c>
      <c r="J103" s="72">
        <v>81.14</v>
      </c>
    </row>
    <row r="104" spans="1:10" ht="32.25" thickBot="1">
      <c r="A104" s="70" t="s">
        <v>131</v>
      </c>
      <c r="B104" s="70" t="s">
        <v>48</v>
      </c>
      <c r="C104" s="70" t="s">
        <v>31</v>
      </c>
      <c r="D104" s="70" t="s">
        <v>42</v>
      </c>
      <c r="E104" s="70" t="s">
        <v>24</v>
      </c>
      <c r="F104" s="70" t="s">
        <v>20</v>
      </c>
      <c r="G104" s="71">
        <v>45029</v>
      </c>
      <c r="H104" s="63">
        <v>232</v>
      </c>
      <c r="I104" s="63">
        <v>391.99</v>
      </c>
      <c r="J104" s="72">
        <v>27.72</v>
      </c>
    </row>
    <row r="105" spans="1:10" ht="32.25" thickBot="1">
      <c r="A105" s="70" t="s">
        <v>132</v>
      </c>
      <c r="B105" s="70" t="s">
        <v>17</v>
      </c>
      <c r="C105" s="70" t="s">
        <v>26</v>
      </c>
      <c r="D105" s="70" t="s">
        <v>23</v>
      </c>
      <c r="E105" s="70" t="s">
        <v>14</v>
      </c>
      <c r="F105" s="70" t="s">
        <v>20</v>
      </c>
      <c r="G105" s="71">
        <v>45030</v>
      </c>
      <c r="H105" s="63">
        <v>363</v>
      </c>
      <c r="I105" s="63">
        <v>354.17</v>
      </c>
      <c r="J105" s="72">
        <v>18.97</v>
      </c>
    </row>
    <row r="106" spans="1:10" ht="32.25" thickBot="1">
      <c r="A106" s="70" t="s">
        <v>133</v>
      </c>
      <c r="B106" s="70" t="s">
        <v>48</v>
      </c>
      <c r="C106" s="70" t="s">
        <v>26</v>
      </c>
      <c r="D106" s="70" t="s">
        <v>42</v>
      </c>
      <c r="E106" s="70" t="s">
        <v>14</v>
      </c>
      <c r="F106" s="70" t="s">
        <v>20</v>
      </c>
      <c r="G106" s="71">
        <v>45031</v>
      </c>
      <c r="H106" s="63">
        <v>197</v>
      </c>
      <c r="I106" s="63">
        <v>225.95</v>
      </c>
      <c r="J106" s="72">
        <v>149.82</v>
      </c>
    </row>
    <row r="107" spans="1:10" ht="32.25" thickBot="1">
      <c r="A107" s="70" t="s">
        <v>134</v>
      </c>
      <c r="B107" s="70" t="s">
        <v>48</v>
      </c>
      <c r="C107" s="70" t="s">
        <v>26</v>
      </c>
      <c r="D107" s="70" t="s">
        <v>13</v>
      </c>
      <c r="E107" s="70" t="s">
        <v>14</v>
      </c>
      <c r="F107" s="70" t="s">
        <v>28</v>
      </c>
      <c r="G107" s="71">
        <v>45032</v>
      </c>
      <c r="H107" s="63">
        <v>457</v>
      </c>
      <c r="I107" s="63">
        <v>432.79</v>
      </c>
      <c r="J107" s="72">
        <v>107.81</v>
      </c>
    </row>
    <row r="108" spans="1:10" ht="32.25" thickBot="1">
      <c r="A108" s="70" t="s">
        <v>135</v>
      </c>
      <c r="B108" s="70" t="s">
        <v>48</v>
      </c>
      <c r="C108" s="70" t="s">
        <v>18</v>
      </c>
      <c r="D108" s="70" t="s">
        <v>19</v>
      </c>
      <c r="E108" s="70" t="s">
        <v>14</v>
      </c>
      <c r="F108" s="70" t="s">
        <v>28</v>
      </c>
      <c r="G108" s="71">
        <v>45033</v>
      </c>
      <c r="H108" s="63">
        <v>353</v>
      </c>
      <c r="I108" s="63">
        <v>281.27999999999997</v>
      </c>
      <c r="J108" s="72">
        <v>259.14</v>
      </c>
    </row>
    <row r="109" spans="1:10" ht="32.25" thickBot="1">
      <c r="A109" s="70" t="s">
        <v>136</v>
      </c>
      <c r="B109" s="70" t="s">
        <v>17</v>
      </c>
      <c r="C109" s="70" t="s">
        <v>18</v>
      </c>
      <c r="D109" s="70" t="s">
        <v>42</v>
      </c>
      <c r="E109" s="70" t="s">
        <v>24</v>
      </c>
      <c r="F109" s="70" t="s">
        <v>20</v>
      </c>
      <c r="G109" s="71">
        <v>45034</v>
      </c>
      <c r="H109" s="63">
        <v>374</v>
      </c>
      <c r="I109" s="63">
        <v>272.25</v>
      </c>
      <c r="J109" s="72">
        <v>200.73</v>
      </c>
    </row>
    <row r="110" spans="1:10" ht="32.25" thickBot="1">
      <c r="A110" s="70" t="s">
        <v>137</v>
      </c>
      <c r="B110" s="70" t="s">
        <v>48</v>
      </c>
      <c r="C110" s="70" t="s">
        <v>18</v>
      </c>
      <c r="D110" s="70" t="s">
        <v>13</v>
      </c>
      <c r="E110" s="70" t="s">
        <v>24</v>
      </c>
      <c r="F110" s="70" t="s">
        <v>20</v>
      </c>
      <c r="G110" s="71">
        <v>45035</v>
      </c>
      <c r="H110" s="63">
        <v>172</v>
      </c>
      <c r="I110" s="63">
        <v>21.92</v>
      </c>
      <c r="J110" s="72">
        <v>107.88</v>
      </c>
    </row>
    <row r="111" spans="1:10" ht="32.25" thickBot="1">
      <c r="A111" s="70" t="s">
        <v>138</v>
      </c>
      <c r="B111" s="70" t="s">
        <v>11</v>
      </c>
      <c r="C111" s="70" t="s">
        <v>31</v>
      </c>
      <c r="D111" s="70" t="s">
        <v>13</v>
      </c>
      <c r="E111" s="70" t="s">
        <v>24</v>
      </c>
      <c r="F111" s="70" t="s">
        <v>28</v>
      </c>
      <c r="G111" s="71">
        <v>45036</v>
      </c>
      <c r="H111" s="63">
        <v>335</v>
      </c>
      <c r="I111" s="63">
        <v>493.41</v>
      </c>
      <c r="J111" s="72">
        <v>61.4</v>
      </c>
    </row>
    <row r="112" spans="1:10" ht="32.25" thickBot="1">
      <c r="A112" s="70" t="s">
        <v>139</v>
      </c>
      <c r="B112" s="70" t="s">
        <v>17</v>
      </c>
      <c r="C112" s="70" t="s">
        <v>50</v>
      </c>
      <c r="D112" s="70" t="s">
        <v>23</v>
      </c>
      <c r="E112" s="70" t="s">
        <v>14</v>
      </c>
      <c r="F112" s="70" t="s">
        <v>28</v>
      </c>
      <c r="G112" s="71">
        <v>45037</v>
      </c>
      <c r="H112" s="63">
        <v>476</v>
      </c>
      <c r="I112" s="63">
        <v>65.87</v>
      </c>
      <c r="J112" s="72">
        <v>52.63</v>
      </c>
    </row>
    <row r="113" spans="1:10" ht="32.25" thickBot="1">
      <c r="A113" s="70" t="s">
        <v>140</v>
      </c>
      <c r="B113" s="70" t="s">
        <v>11</v>
      </c>
      <c r="C113" s="70" t="s">
        <v>26</v>
      </c>
      <c r="D113" s="70" t="s">
        <v>13</v>
      </c>
      <c r="E113" s="70" t="s">
        <v>14</v>
      </c>
      <c r="F113" s="70" t="s">
        <v>15</v>
      </c>
      <c r="G113" s="71">
        <v>45038</v>
      </c>
      <c r="H113" s="63">
        <v>423</v>
      </c>
      <c r="I113" s="63">
        <v>119.41</v>
      </c>
      <c r="J113" s="72">
        <v>346.13</v>
      </c>
    </row>
    <row r="114" spans="1:10" ht="32.25" thickBot="1">
      <c r="A114" s="70" t="s">
        <v>141</v>
      </c>
      <c r="B114" s="70" t="s">
        <v>17</v>
      </c>
      <c r="C114" s="70" t="s">
        <v>26</v>
      </c>
      <c r="D114" s="70" t="s">
        <v>13</v>
      </c>
      <c r="E114" s="70" t="s">
        <v>14</v>
      </c>
      <c r="F114" s="70" t="s">
        <v>15</v>
      </c>
      <c r="G114" s="71">
        <v>45039</v>
      </c>
      <c r="H114" s="63">
        <v>464</v>
      </c>
      <c r="I114" s="63">
        <v>30.59</v>
      </c>
      <c r="J114" s="72">
        <v>98.9</v>
      </c>
    </row>
    <row r="115" spans="1:10" ht="32.25" thickBot="1">
      <c r="A115" s="70" t="s">
        <v>142</v>
      </c>
      <c r="B115" s="70" t="s">
        <v>48</v>
      </c>
      <c r="C115" s="70" t="s">
        <v>31</v>
      </c>
      <c r="D115" s="70" t="s">
        <v>13</v>
      </c>
      <c r="E115" s="70" t="s">
        <v>24</v>
      </c>
      <c r="F115" s="70" t="s">
        <v>28</v>
      </c>
      <c r="G115" s="71">
        <v>45040</v>
      </c>
      <c r="H115" s="63">
        <v>83</v>
      </c>
      <c r="I115" s="63">
        <v>321.8</v>
      </c>
      <c r="J115" s="72">
        <v>261.38</v>
      </c>
    </row>
    <row r="116" spans="1:10" ht="32.25" thickBot="1">
      <c r="A116" s="70" t="s">
        <v>143</v>
      </c>
      <c r="B116" s="70" t="s">
        <v>11</v>
      </c>
      <c r="C116" s="70" t="s">
        <v>26</v>
      </c>
      <c r="D116" s="70" t="s">
        <v>13</v>
      </c>
      <c r="E116" s="70" t="s">
        <v>14</v>
      </c>
      <c r="F116" s="70" t="s">
        <v>20</v>
      </c>
      <c r="G116" s="71">
        <v>45041</v>
      </c>
      <c r="H116" s="63">
        <v>242</v>
      </c>
      <c r="I116" s="63">
        <v>116.23</v>
      </c>
      <c r="J116" s="72">
        <v>324.64999999999998</v>
      </c>
    </row>
    <row r="117" spans="1:10" ht="32.25" thickBot="1">
      <c r="A117" s="70" t="s">
        <v>144</v>
      </c>
      <c r="B117" s="70" t="s">
        <v>17</v>
      </c>
      <c r="C117" s="70" t="s">
        <v>18</v>
      </c>
      <c r="D117" s="70" t="s">
        <v>27</v>
      </c>
      <c r="E117" s="70" t="s">
        <v>24</v>
      </c>
      <c r="F117" s="70" t="s">
        <v>20</v>
      </c>
      <c r="G117" s="71">
        <v>45042</v>
      </c>
      <c r="H117" s="63">
        <v>233</v>
      </c>
      <c r="I117" s="63">
        <v>94.11</v>
      </c>
      <c r="J117" s="72">
        <v>246.4</v>
      </c>
    </row>
    <row r="118" spans="1:10" ht="32.25" thickBot="1">
      <c r="A118" s="70" t="s">
        <v>145</v>
      </c>
      <c r="B118" s="70" t="s">
        <v>22</v>
      </c>
      <c r="C118" s="70" t="s">
        <v>50</v>
      </c>
      <c r="D118" s="70" t="s">
        <v>27</v>
      </c>
      <c r="E118" s="70" t="s">
        <v>24</v>
      </c>
      <c r="F118" s="70" t="s">
        <v>20</v>
      </c>
      <c r="G118" s="71">
        <v>45043</v>
      </c>
      <c r="H118" s="63">
        <v>491</v>
      </c>
      <c r="I118" s="63">
        <v>48.84</v>
      </c>
      <c r="J118" s="72">
        <v>344.11</v>
      </c>
    </row>
    <row r="119" spans="1:10" ht="32.25" thickBot="1">
      <c r="A119" s="70" t="s">
        <v>146</v>
      </c>
      <c r="B119" s="70"/>
      <c r="C119" s="70" t="s">
        <v>12</v>
      </c>
      <c r="D119" s="70" t="s">
        <v>23</v>
      </c>
      <c r="E119" s="70" t="s">
        <v>24</v>
      </c>
      <c r="F119" s="70" t="s">
        <v>20</v>
      </c>
      <c r="G119" s="71">
        <v>45044</v>
      </c>
      <c r="H119" s="63">
        <v>328</v>
      </c>
      <c r="I119" s="63">
        <v>56.14</v>
      </c>
      <c r="J119" s="72">
        <v>158.16999999999999</v>
      </c>
    </row>
    <row r="120" spans="1:10" ht="32.25" thickBot="1">
      <c r="A120" s="70" t="s">
        <v>147</v>
      </c>
      <c r="B120" s="70" t="s">
        <v>17</v>
      </c>
      <c r="C120" s="70" t="s">
        <v>26</v>
      </c>
      <c r="D120" s="70" t="s">
        <v>42</v>
      </c>
      <c r="E120" s="70" t="s">
        <v>24</v>
      </c>
      <c r="F120" s="70" t="s">
        <v>15</v>
      </c>
      <c r="G120" s="71">
        <v>45045</v>
      </c>
      <c r="H120" s="63">
        <v>421</v>
      </c>
      <c r="I120" s="63">
        <v>294.41000000000003</v>
      </c>
      <c r="J120" s="72">
        <v>382.58</v>
      </c>
    </row>
    <row r="121" spans="1:10" ht="32.25" thickBot="1">
      <c r="A121" s="70" t="s">
        <v>148</v>
      </c>
      <c r="B121" s="70" t="s">
        <v>22</v>
      </c>
      <c r="C121" s="70" t="s">
        <v>18</v>
      </c>
      <c r="D121" s="70" t="s">
        <v>13</v>
      </c>
      <c r="E121" s="70" t="s">
        <v>24</v>
      </c>
      <c r="F121" s="70" t="s">
        <v>28</v>
      </c>
      <c r="G121" s="71">
        <v>45046</v>
      </c>
      <c r="H121" s="63">
        <v>69</v>
      </c>
      <c r="I121" s="63">
        <v>345.66</v>
      </c>
      <c r="J121" s="72">
        <v>54.99</v>
      </c>
    </row>
    <row r="122" spans="1:10" ht="32.25" thickBot="1">
      <c r="A122" s="70" t="s">
        <v>149</v>
      </c>
      <c r="B122" s="70" t="s">
        <v>17</v>
      </c>
      <c r="C122" s="70" t="s">
        <v>12</v>
      </c>
      <c r="D122" s="70" t="s">
        <v>42</v>
      </c>
      <c r="E122" s="70" t="s">
        <v>24</v>
      </c>
      <c r="F122" s="70" t="s">
        <v>20</v>
      </c>
      <c r="G122" s="71">
        <v>45047</v>
      </c>
      <c r="H122" s="63">
        <v>344</v>
      </c>
      <c r="I122" s="63">
        <v>201.7</v>
      </c>
      <c r="J122" s="72">
        <v>42.66</v>
      </c>
    </row>
    <row r="123" spans="1:10" ht="32.25" thickBot="1">
      <c r="A123" s="70" t="s">
        <v>150</v>
      </c>
      <c r="B123" s="70"/>
      <c r="C123" s="70" t="s">
        <v>50</v>
      </c>
      <c r="D123" s="70" t="s">
        <v>42</v>
      </c>
      <c r="E123" s="70" t="s">
        <v>14</v>
      </c>
      <c r="F123" s="70" t="s">
        <v>15</v>
      </c>
      <c r="G123" s="71">
        <v>45048</v>
      </c>
      <c r="H123" s="63">
        <v>231</v>
      </c>
      <c r="I123" s="63">
        <v>242.55</v>
      </c>
      <c r="J123" s="72">
        <v>264.16000000000003</v>
      </c>
    </row>
    <row r="124" spans="1:10" ht="32.25" thickBot="1">
      <c r="A124" s="70" t="s">
        <v>151</v>
      </c>
      <c r="B124" s="70" t="s">
        <v>48</v>
      </c>
      <c r="C124" s="70" t="s">
        <v>12</v>
      </c>
      <c r="D124" s="70" t="s">
        <v>23</v>
      </c>
      <c r="E124" s="70" t="s">
        <v>14</v>
      </c>
      <c r="F124" s="70" t="s">
        <v>20</v>
      </c>
      <c r="G124" s="71">
        <v>45049</v>
      </c>
      <c r="H124" s="63">
        <v>46</v>
      </c>
      <c r="I124" s="63">
        <v>344.55</v>
      </c>
      <c r="J124" s="72">
        <v>377.25</v>
      </c>
    </row>
    <row r="125" spans="1:10" ht="32.25" thickBot="1">
      <c r="A125" s="70" t="s">
        <v>152</v>
      </c>
      <c r="B125" s="70" t="s">
        <v>11</v>
      </c>
      <c r="C125" s="70" t="s">
        <v>18</v>
      </c>
      <c r="D125" s="70" t="s">
        <v>13</v>
      </c>
      <c r="E125" s="70" t="s">
        <v>24</v>
      </c>
      <c r="F125" s="70" t="s">
        <v>28</v>
      </c>
      <c r="G125" s="71">
        <v>45050</v>
      </c>
      <c r="H125" s="63">
        <v>486</v>
      </c>
      <c r="I125" s="63">
        <v>13.6</v>
      </c>
      <c r="J125" s="72">
        <v>323.94</v>
      </c>
    </row>
    <row r="126" spans="1:10" ht="32.25" thickBot="1">
      <c r="A126" s="70" t="s">
        <v>153</v>
      </c>
      <c r="B126" s="70" t="s">
        <v>22</v>
      </c>
      <c r="C126" s="70" t="s">
        <v>12</v>
      </c>
      <c r="D126" s="70" t="s">
        <v>13</v>
      </c>
      <c r="E126" s="70" t="s">
        <v>24</v>
      </c>
      <c r="F126" s="70" t="s">
        <v>15</v>
      </c>
      <c r="G126" s="71">
        <v>45051</v>
      </c>
      <c r="H126" s="63">
        <v>287</v>
      </c>
      <c r="I126" s="63">
        <v>164.95</v>
      </c>
      <c r="J126" s="72">
        <v>32.409999999999997</v>
      </c>
    </row>
    <row r="127" spans="1:10" ht="32.25" thickBot="1">
      <c r="A127" s="70" t="s">
        <v>154</v>
      </c>
      <c r="B127" s="70" t="s">
        <v>17</v>
      </c>
      <c r="C127" s="70" t="s">
        <v>31</v>
      </c>
      <c r="D127" s="70" t="s">
        <v>19</v>
      </c>
      <c r="E127" s="70" t="s">
        <v>14</v>
      </c>
      <c r="F127" s="70" t="s">
        <v>28</v>
      </c>
      <c r="G127" s="71">
        <v>45052</v>
      </c>
      <c r="H127" s="63">
        <v>205</v>
      </c>
      <c r="I127" s="63">
        <v>486.68</v>
      </c>
      <c r="J127" s="72">
        <v>113.19</v>
      </c>
    </row>
    <row r="128" spans="1:10" ht="32.25" thickBot="1">
      <c r="A128" s="70" t="s">
        <v>155</v>
      </c>
      <c r="B128" s="70" t="s">
        <v>48</v>
      </c>
      <c r="C128" s="70" t="s">
        <v>12</v>
      </c>
      <c r="D128" s="70" t="s">
        <v>42</v>
      </c>
      <c r="E128" s="70" t="s">
        <v>24</v>
      </c>
      <c r="F128" s="70" t="s">
        <v>28</v>
      </c>
      <c r="G128" s="71">
        <v>45053</v>
      </c>
      <c r="H128" s="63">
        <v>413</v>
      </c>
      <c r="I128" s="63">
        <v>292.16000000000003</v>
      </c>
      <c r="J128" s="72">
        <v>372.27</v>
      </c>
    </row>
    <row r="129" spans="1:10" ht="32.25" thickBot="1">
      <c r="A129" s="70" t="s">
        <v>156</v>
      </c>
      <c r="B129" s="70" t="s">
        <v>22</v>
      </c>
      <c r="C129" s="70" t="s">
        <v>26</v>
      </c>
      <c r="D129" s="70" t="s">
        <v>42</v>
      </c>
      <c r="E129" s="70" t="s">
        <v>24</v>
      </c>
      <c r="F129" s="70" t="s">
        <v>15</v>
      </c>
      <c r="G129" s="71">
        <v>45054</v>
      </c>
      <c r="H129" s="63">
        <v>361</v>
      </c>
      <c r="I129" s="63">
        <v>130.84</v>
      </c>
      <c r="J129" s="72">
        <v>102.72</v>
      </c>
    </row>
    <row r="130" spans="1:10" ht="32.25" thickBot="1">
      <c r="A130" s="70" t="s">
        <v>157</v>
      </c>
      <c r="B130" s="70" t="s">
        <v>17</v>
      </c>
      <c r="C130" s="70" t="s">
        <v>26</v>
      </c>
      <c r="D130" s="70" t="s">
        <v>27</v>
      </c>
      <c r="E130" s="70" t="s">
        <v>14</v>
      </c>
      <c r="F130" s="70" t="s">
        <v>15</v>
      </c>
      <c r="G130" s="71">
        <v>45055</v>
      </c>
      <c r="H130" s="63">
        <v>493</v>
      </c>
      <c r="I130" s="63">
        <v>263.26</v>
      </c>
      <c r="J130" s="72">
        <v>312.91000000000003</v>
      </c>
    </row>
    <row r="131" spans="1:10" ht="32.25" thickBot="1">
      <c r="A131" s="70" t="s">
        <v>158</v>
      </c>
      <c r="B131" s="70" t="s">
        <v>17</v>
      </c>
      <c r="C131" s="70" t="s">
        <v>31</v>
      </c>
      <c r="D131" s="70" t="s">
        <v>19</v>
      </c>
      <c r="E131" s="70" t="s">
        <v>24</v>
      </c>
      <c r="F131" s="70" t="s">
        <v>15</v>
      </c>
      <c r="G131" s="71">
        <v>45056</v>
      </c>
      <c r="H131" s="63">
        <v>251</v>
      </c>
      <c r="I131" s="63">
        <v>174.61</v>
      </c>
      <c r="J131" s="72">
        <v>330.4</v>
      </c>
    </row>
    <row r="132" spans="1:10" ht="32.25" thickBot="1">
      <c r="A132" s="70" t="s">
        <v>159</v>
      </c>
      <c r="B132" s="70" t="s">
        <v>17</v>
      </c>
      <c r="C132" s="70" t="s">
        <v>18</v>
      </c>
      <c r="D132" s="70" t="s">
        <v>27</v>
      </c>
      <c r="E132" s="70" t="s">
        <v>24</v>
      </c>
      <c r="F132" s="70" t="s">
        <v>15</v>
      </c>
      <c r="G132" s="71">
        <v>45057</v>
      </c>
      <c r="H132" s="63">
        <v>248.5</v>
      </c>
      <c r="I132" s="63">
        <v>268.45999999999998</v>
      </c>
      <c r="J132" s="72">
        <v>199.19</v>
      </c>
    </row>
    <row r="133" spans="1:10" ht="32.25" thickBot="1">
      <c r="A133" s="70" t="s">
        <v>160</v>
      </c>
      <c r="B133" s="70" t="s">
        <v>22</v>
      </c>
      <c r="C133" s="70" t="s">
        <v>26</v>
      </c>
      <c r="D133" s="70" t="s">
        <v>27</v>
      </c>
      <c r="E133" s="70" t="s">
        <v>24</v>
      </c>
      <c r="F133" s="70" t="s">
        <v>15</v>
      </c>
      <c r="G133" s="71">
        <v>45058</v>
      </c>
      <c r="H133" s="63">
        <v>228</v>
      </c>
      <c r="I133" s="63">
        <v>67.239999999999995</v>
      </c>
      <c r="J133" s="72">
        <v>155.77000000000001</v>
      </c>
    </row>
    <row r="134" spans="1:10" ht="32.25" thickBot="1">
      <c r="A134" s="70" t="s">
        <v>161</v>
      </c>
      <c r="B134" s="70" t="s">
        <v>22</v>
      </c>
      <c r="C134" s="70" t="s">
        <v>50</v>
      </c>
      <c r="D134" s="70" t="s">
        <v>27</v>
      </c>
      <c r="E134" s="70" t="s">
        <v>14</v>
      </c>
      <c r="F134" s="70" t="s">
        <v>15</v>
      </c>
      <c r="G134" s="71">
        <v>45059</v>
      </c>
      <c r="H134" s="63">
        <v>201</v>
      </c>
      <c r="I134" s="63">
        <v>70.69</v>
      </c>
      <c r="J134" s="72">
        <v>181.15</v>
      </c>
    </row>
    <row r="135" spans="1:10" ht="32.25" thickBot="1">
      <c r="A135" s="70" t="s">
        <v>162</v>
      </c>
      <c r="B135" s="70" t="s">
        <v>22</v>
      </c>
      <c r="C135" s="70" t="s">
        <v>26</v>
      </c>
      <c r="D135" s="70" t="s">
        <v>23</v>
      </c>
      <c r="E135" s="70" t="s">
        <v>14</v>
      </c>
      <c r="F135" s="70" t="s">
        <v>15</v>
      </c>
      <c r="G135" s="71">
        <v>45060</v>
      </c>
      <c r="H135" s="63">
        <v>26</v>
      </c>
      <c r="I135" s="63">
        <v>76.05</v>
      </c>
      <c r="J135" s="72">
        <v>92.33</v>
      </c>
    </row>
    <row r="136" spans="1:10" ht="32.25" thickBot="1">
      <c r="A136" s="70" t="s">
        <v>163</v>
      </c>
      <c r="B136" s="70" t="s">
        <v>11</v>
      </c>
      <c r="C136" s="70" t="s">
        <v>26</v>
      </c>
      <c r="D136" s="70" t="s">
        <v>23</v>
      </c>
      <c r="E136" s="70" t="s">
        <v>14</v>
      </c>
      <c r="F136" s="70" t="s">
        <v>20</v>
      </c>
      <c r="G136" s="71">
        <v>45061</v>
      </c>
      <c r="H136" s="63">
        <v>21</v>
      </c>
      <c r="I136" s="63">
        <v>470.21</v>
      </c>
      <c r="J136" s="72">
        <v>355.98</v>
      </c>
    </row>
    <row r="137" spans="1:10" ht="32.25" thickBot="1">
      <c r="A137" s="70" t="s">
        <v>164</v>
      </c>
      <c r="B137" s="70" t="s">
        <v>22</v>
      </c>
      <c r="C137" s="70" t="s">
        <v>18</v>
      </c>
      <c r="D137" s="70" t="s">
        <v>27</v>
      </c>
      <c r="E137" s="70" t="s">
        <v>24</v>
      </c>
      <c r="F137" s="70" t="s">
        <v>28</v>
      </c>
      <c r="G137" s="71">
        <v>45062</v>
      </c>
      <c r="H137" s="63">
        <v>415</v>
      </c>
      <c r="I137" s="63">
        <v>367.78</v>
      </c>
      <c r="J137" s="72">
        <v>181.35</v>
      </c>
    </row>
    <row r="138" spans="1:10" ht="32.25" thickBot="1">
      <c r="A138" s="70" t="s">
        <v>165</v>
      </c>
      <c r="B138" s="70" t="s">
        <v>22</v>
      </c>
      <c r="C138" s="70" t="s">
        <v>12</v>
      </c>
      <c r="D138" s="70" t="s">
        <v>19</v>
      </c>
      <c r="E138" s="70" t="s">
        <v>24</v>
      </c>
      <c r="F138" s="70" t="s">
        <v>15</v>
      </c>
      <c r="G138" s="71">
        <v>45063</v>
      </c>
      <c r="H138" s="63">
        <v>410</v>
      </c>
      <c r="I138" s="63">
        <v>85.38</v>
      </c>
      <c r="J138" s="72">
        <v>353.22</v>
      </c>
    </row>
    <row r="139" spans="1:10" ht="32.25" thickBot="1">
      <c r="A139" s="70" t="s">
        <v>166</v>
      </c>
      <c r="B139" s="70" t="s">
        <v>22</v>
      </c>
      <c r="C139" s="70" t="s">
        <v>26</v>
      </c>
      <c r="D139" s="70" t="s">
        <v>42</v>
      </c>
      <c r="E139" s="70" t="s">
        <v>14</v>
      </c>
      <c r="F139" s="70" t="s">
        <v>20</v>
      </c>
      <c r="G139" s="71">
        <v>45064</v>
      </c>
      <c r="H139" s="63">
        <v>403</v>
      </c>
      <c r="I139" s="63">
        <v>98.23</v>
      </c>
      <c r="J139" s="72">
        <v>44.07</v>
      </c>
    </row>
    <row r="140" spans="1:10" ht="32.25" thickBot="1">
      <c r="A140" s="70" t="s">
        <v>167</v>
      </c>
      <c r="B140" s="70" t="s">
        <v>11</v>
      </c>
      <c r="C140" s="70" t="s">
        <v>31</v>
      </c>
      <c r="D140" s="70" t="s">
        <v>19</v>
      </c>
      <c r="E140" s="70" t="s">
        <v>24</v>
      </c>
      <c r="F140" s="70" t="s">
        <v>20</v>
      </c>
      <c r="G140" s="71">
        <v>45065</v>
      </c>
      <c r="H140" s="63">
        <v>383</v>
      </c>
      <c r="I140" s="63">
        <v>366.76</v>
      </c>
      <c r="J140" s="72">
        <v>395.33</v>
      </c>
    </row>
    <row r="141" spans="1:10" ht="32.25" thickBot="1">
      <c r="A141" s="70" t="s">
        <v>168</v>
      </c>
      <c r="B141" s="70" t="s">
        <v>22</v>
      </c>
      <c r="C141" s="70" t="s">
        <v>12</v>
      </c>
      <c r="D141" s="70" t="s">
        <v>13</v>
      </c>
      <c r="E141" s="70" t="s">
        <v>24</v>
      </c>
      <c r="F141" s="70" t="s">
        <v>20</v>
      </c>
      <c r="G141" s="71">
        <v>45066</v>
      </c>
      <c r="H141" s="63">
        <v>202</v>
      </c>
      <c r="I141" s="63">
        <v>82.3</v>
      </c>
      <c r="J141" s="72">
        <v>178.42</v>
      </c>
    </row>
    <row r="142" spans="1:10" ht="32.25" thickBot="1">
      <c r="A142" s="70" t="s">
        <v>169</v>
      </c>
      <c r="B142" s="70" t="s">
        <v>17</v>
      </c>
      <c r="C142" s="70" t="s">
        <v>50</v>
      </c>
      <c r="D142" s="70" t="s">
        <v>23</v>
      </c>
      <c r="E142" s="70" t="s">
        <v>24</v>
      </c>
      <c r="F142" s="70" t="s">
        <v>28</v>
      </c>
      <c r="G142" s="71">
        <v>45067</v>
      </c>
      <c r="H142" s="63">
        <v>31</v>
      </c>
      <c r="I142" s="63">
        <v>121.11</v>
      </c>
      <c r="J142" s="72">
        <v>21.04</v>
      </c>
    </row>
    <row r="143" spans="1:10" ht="32.25" thickBot="1">
      <c r="A143" s="70" t="s">
        <v>170</v>
      </c>
      <c r="B143" s="70" t="s">
        <v>22</v>
      </c>
      <c r="C143" s="70" t="s">
        <v>18</v>
      </c>
      <c r="D143" s="70" t="s">
        <v>42</v>
      </c>
      <c r="E143" s="70" t="s">
        <v>24</v>
      </c>
      <c r="F143" s="70" t="s">
        <v>15</v>
      </c>
      <c r="G143" s="71">
        <v>45068</v>
      </c>
      <c r="H143" s="63">
        <v>483</v>
      </c>
      <c r="I143" s="63">
        <v>481.86</v>
      </c>
      <c r="J143" s="72">
        <v>17.13</v>
      </c>
    </row>
    <row r="144" spans="1:10" ht="32.25" thickBot="1">
      <c r="A144" s="70" t="s">
        <v>171</v>
      </c>
      <c r="B144" s="70" t="s">
        <v>17</v>
      </c>
      <c r="C144" s="70" t="s">
        <v>50</v>
      </c>
      <c r="D144" s="70" t="s">
        <v>42</v>
      </c>
      <c r="E144" s="70" t="s">
        <v>24</v>
      </c>
      <c r="F144" s="70" t="s">
        <v>20</v>
      </c>
      <c r="G144" s="71">
        <v>45069</v>
      </c>
      <c r="H144" s="63">
        <v>129</v>
      </c>
      <c r="I144" s="63">
        <v>131.38</v>
      </c>
      <c r="J144" s="72">
        <v>298.99</v>
      </c>
    </row>
    <row r="145" spans="1:10" ht="32.25" thickBot="1">
      <c r="A145" s="70" t="s">
        <v>172</v>
      </c>
      <c r="B145" s="70" t="s">
        <v>17</v>
      </c>
      <c r="C145" s="70" t="s">
        <v>12</v>
      </c>
      <c r="D145" s="70" t="s">
        <v>13</v>
      </c>
      <c r="E145" s="70" t="s">
        <v>14</v>
      </c>
      <c r="F145" s="70" t="s">
        <v>28</v>
      </c>
      <c r="G145" s="71">
        <v>45070</v>
      </c>
      <c r="H145" s="63">
        <v>219</v>
      </c>
      <c r="I145" s="63">
        <v>332.51</v>
      </c>
      <c r="J145" s="72">
        <v>264.3</v>
      </c>
    </row>
    <row r="146" spans="1:10" ht="32.25" thickBot="1">
      <c r="A146" s="70" t="s">
        <v>173</v>
      </c>
      <c r="B146" s="70" t="s">
        <v>17</v>
      </c>
      <c r="C146" s="70" t="s">
        <v>12</v>
      </c>
      <c r="D146" s="70" t="s">
        <v>13</v>
      </c>
      <c r="E146" s="70" t="s">
        <v>24</v>
      </c>
      <c r="F146" s="70" t="s">
        <v>28</v>
      </c>
      <c r="G146" s="71">
        <v>45071</v>
      </c>
      <c r="H146" s="63">
        <v>315</v>
      </c>
      <c r="I146" s="63">
        <v>489.42</v>
      </c>
      <c r="J146" s="72">
        <v>321.25</v>
      </c>
    </row>
    <row r="147" spans="1:10" ht="32.25" thickBot="1">
      <c r="A147" s="70" t="s">
        <v>174</v>
      </c>
      <c r="B147" s="70" t="s">
        <v>11</v>
      </c>
      <c r="C147" s="70" t="s">
        <v>12</v>
      </c>
      <c r="D147" s="70" t="s">
        <v>27</v>
      </c>
      <c r="E147" s="70" t="s">
        <v>14</v>
      </c>
      <c r="F147" s="70" t="s">
        <v>28</v>
      </c>
      <c r="G147" s="71">
        <v>45072</v>
      </c>
      <c r="H147" s="63">
        <v>279</v>
      </c>
      <c r="I147" s="63">
        <v>190.28</v>
      </c>
      <c r="J147" s="72">
        <v>43.94</v>
      </c>
    </row>
    <row r="148" spans="1:10" ht="32.25" thickBot="1">
      <c r="A148" s="70" t="s">
        <v>175</v>
      </c>
      <c r="B148" s="70" t="s">
        <v>11</v>
      </c>
      <c r="C148" s="70" t="s">
        <v>50</v>
      </c>
      <c r="D148" s="70" t="s">
        <v>23</v>
      </c>
      <c r="E148" s="70" t="s">
        <v>24</v>
      </c>
      <c r="F148" s="70" t="s">
        <v>20</v>
      </c>
      <c r="G148" s="71">
        <v>45073</v>
      </c>
      <c r="H148" s="63">
        <v>201</v>
      </c>
      <c r="I148" s="63">
        <v>13.67</v>
      </c>
      <c r="J148" s="72">
        <v>16.16</v>
      </c>
    </row>
    <row r="149" spans="1:10" ht="32.25" thickBot="1">
      <c r="A149" s="70" t="s">
        <v>176</v>
      </c>
      <c r="B149" s="70" t="s">
        <v>11</v>
      </c>
      <c r="C149" s="70" t="s">
        <v>12</v>
      </c>
      <c r="D149" s="70" t="s">
        <v>23</v>
      </c>
      <c r="E149" s="70" t="s">
        <v>14</v>
      </c>
      <c r="F149" s="70" t="s">
        <v>15</v>
      </c>
      <c r="G149" s="71">
        <v>45074</v>
      </c>
      <c r="H149" s="63">
        <v>184</v>
      </c>
      <c r="I149" s="63">
        <v>125.85</v>
      </c>
      <c r="J149" s="72">
        <v>204.41</v>
      </c>
    </row>
    <row r="150" spans="1:10" ht="32.25" thickBot="1">
      <c r="A150" s="70" t="s">
        <v>177</v>
      </c>
      <c r="B150" s="70" t="s">
        <v>22</v>
      </c>
      <c r="C150" s="70" t="s">
        <v>50</v>
      </c>
      <c r="D150" s="70" t="s">
        <v>19</v>
      </c>
      <c r="E150" s="70" t="s">
        <v>24</v>
      </c>
      <c r="F150" s="70" t="s">
        <v>20</v>
      </c>
      <c r="G150" s="71">
        <v>45075</v>
      </c>
      <c r="H150" s="63">
        <v>294</v>
      </c>
      <c r="I150" s="63">
        <v>416.28</v>
      </c>
      <c r="J150" s="72">
        <v>156.26</v>
      </c>
    </row>
    <row r="151" spans="1:10" ht="32.25" thickBot="1">
      <c r="A151" s="70" t="s">
        <v>178</v>
      </c>
      <c r="B151" s="70" t="s">
        <v>17</v>
      </c>
      <c r="C151" s="70" t="s">
        <v>12</v>
      </c>
      <c r="D151" s="70" t="s">
        <v>27</v>
      </c>
      <c r="E151" s="70" t="s">
        <v>14</v>
      </c>
      <c r="F151" s="70" t="s">
        <v>20</v>
      </c>
      <c r="G151" s="71">
        <v>45076</v>
      </c>
      <c r="H151" s="63">
        <v>213</v>
      </c>
      <c r="I151" s="63">
        <v>432.98</v>
      </c>
      <c r="J151" s="72">
        <v>185.85</v>
      </c>
    </row>
    <row r="152" spans="1:10" ht="32.25" thickBot="1">
      <c r="A152" s="70" t="s">
        <v>179</v>
      </c>
      <c r="B152" s="70" t="s">
        <v>11</v>
      </c>
      <c r="C152" s="70" t="s">
        <v>31</v>
      </c>
      <c r="D152" s="70" t="s">
        <v>27</v>
      </c>
      <c r="E152" s="70" t="s">
        <v>24</v>
      </c>
      <c r="F152" s="70" t="s">
        <v>15</v>
      </c>
      <c r="G152" s="71">
        <v>45077</v>
      </c>
      <c r="H152" s="63">
        <v>173</v>
      </c>
      <c r="I152" s="63">
        <v>385.42</v>
      </c>
      <c r="J152" s="72">
        <v>396.65</v>
      </c>
    </row>
    <row r="153" spans="1:10" ht="32.25" thickBot="1">
      <c r="A153" s="70" t="s">
        <v>180</v>
      </c>
      <c r="B153" s="70" t="s">
        <v>11</v>
      </c>
      <c r="C153" s="70" t="s">
        <v>12</v>
      </c>
      <c r="D153" s="70" t="s">
        <v>27</v>
      </c>
      <c r="E153" s="70" t="s">
        <v>14</v>
      </c>
      <c r="F153" s="70" t="s">
        <v>15</v>
      </c>
      <c r="G153" s="71">
        <v>45078</v>
      </c>
      <c r="H153" s="63">
        <v>260</v>
      </c>
      <c r="I153" s="63">
        <v>60.99</v>
      </c>
      <c r="J153" s="72">
        <v>388.36</v>
      </c>
    </row>
    <row r="154" spans="1:10" ht="32.25" thickBot="1">
      <c r="A154" s="70" t="s">
        <v>181</v>
      </c>
      <c r="B154" s="70" t="s">
        <v>22</v>
      </c>
      <c r="C154" s="70" t="s">
        <v>50</v>
      </c>
      <c r="D154" s="70" t="s">
        <v>27</v>
      </c>
      <c r="E154" s="70" t="s">
        <v>24</v>
      </c>
      <c r="F154" s="70" t="s">
        <v>15</v>
      </c>
      <c r="G154" s="71">
        <v>45079</v>
      </c>
      <c r="H154" s="63">
        <v>236</v>
      </c>
      <c r="I154" s="63">
        <v>398.78</v>
      </c>
      <c r="J154" s="72">
        <v>377.04</v>
      </c>
    </row>
    <row r="155" spans="1:10" ht="32.25" thickBot="1">
      <c r="A155" s="70" t="s">
        <v>182</v>
      </c>
      <c r="B155" s="70" t="s">
        <v>11</v>
      </c>
      <c r="C155" s="70" t="s">
        <v>26</v>
      </c>
      <c r="D155" s="70" t="s">
        <v>23</v>
      </c>
      <c r="E155" s="70" t="s">
        <v>14</v>
      </c>
      <c r="F155" s="70" t="s">
        <v>28</v>
      </c>
      <c r="G155" s="71">
        <v>45080</v>
      </c>
      <c r="H155" s="63">
        <v>445</v>
      </c>
      <c r="I155" s="63">
        <v>459.75</v>
      </c>
      <c r="J155" s="72">
        <v>313.97000000000003</v>
      </c>
    </row>
    <row r="156" spans="1:10" ht="32.25" thickBot="1">
      <c r="A156" s="70" t="s">
        <v>183</v>
      </c>
      <c r="B156" s="70" t="s">
        <v>22</v>
      </c>
      <c r="C156" s="70" t="s">
        <v>12</v>
      </c>
      <c r="D156" s="70" t="s">
        <v>23</v>
      </c>
      <c r="E156" s="70" t="s">
        <v>24</v>
      </c>
      <c r="F156" s="70" t="s">
        <v>15</v>
      </c>
      <c r="G156" s="71">
        <v>45081</v>
      </c>
      <c r="H156" s="63">
        <v>390</v>
      </c>
      <c r="I156" s="63">
        <v>302.3</v>
      </c>
      <c r="J156" s="72">
        <v>143.22999999999999</v>
      </c>
    </row>
    <row r="157" spans="1:10" ht="32.25" thickBot="1">
      <c r="A157" s="70" t="s">
        <v>184</v>
      </c>
      <c r="B157" s="70" t="s">
        <v>48</v>
      </c>
      <c r="C157" s="70" t="s">
        <v>26</v>
      </c>
      <c r="D157" s="70" t="s">
        <v>27</v>
      </c>
      <c r="E157" s="70" t="s">
        <v>14</v>
      </c>
      <c r="F157" s="70" t="s">
        <v>20</v>
      </c>
      <c r="G157" s="71">
        <v>45082</v>
      </c>
      <c r="H157" s="63">
        <v>469</v>
      </c>
      <c r="I157" s="63">
        <v>470.73</v>
      </c>
      <c r="J157" s="72">
        <v>166.03</v>
      </c>
    </row>
    <row r="158" spans="1:10" ht="32.25" thickBot="1">
      <c r="A158" s="70" t="s">
        <v>185</v>
      </c>
      <c r="B158" s="70" t="s">
        <v>11</v>
      </c>
      <c r="C158" s="70" t="s">
        <v>31</v>
      </c>
      <c r="D158" s="70" t="s">
        <v>19</v>
      </c>
      <c r="E158" s="70" t="s">
        <v>14</v>
      </c>
      <c r="F158" s="70" t="s">
        <v>15</v>
      </c>
      <c r="G158" s="71">
        <v>45083</v>
      </c>
      <c r="H158" s="63">
        <v>16</v>
      </c>
      <c r="I158" s="63">
        <v>255.39500000000001</v>
      </c>
      <c r="J158" s="72">
        <v>220.75</v>
      </c>
    </row>
    <row r="159" spans="1:10" ht="32.25" thickBot="1">
      <c r="A159" s="70" t="s">
        <v>186</v>
      </c>
      <c r="B159" s="70" t="s">
        <v>48</v>
      </c>
      <c r="C159" s="70" t="s">
        <v>18</v>
      </c>
      <c r="D159" s="70" t="s">
        <v>42</v>
      </c>
      <c r="E159" s="70" t="s">
        <v>24</v>
      </c>
      <c r="F159" s="70" t="s">
        <v>20</v>
      </c>
      <c r="G159" s="71">
        <v>45084</v>
      </c>
      <c r="H159" s="63">
        <v>38</v>
      </c>
      <c r="I159" s="63">
        <v>335.15</v>
      </c>
      <c r="J159" s="72">
        <v>332.55</v>
      </c>
    </row>
    <row r="160" spans="1:10" ht="32.25" thickBot="1">
      <c r="A160" s="70" t="s">
        <v>187</v>
      </c>
      <c r="B160" s="70" t="s">
        <v>22</v>
      </c>
      <c r="C160" s="70" t="s">
        <v>31</v>
      </c>
      <c r="D160" s="70"/>
      <c r="E160" s="70" t="s">
        <v>24</v>
      </c>
      <c r="F160" s="70" t="s">
        <v>28</v>
      </c>
      <c r="G160" s="71">
        <v>45085</v>
      </c>
      <c r="H160" s="63">
        <v>404</v>
      </c>
      <c r="I160" s="63">
        <v>290.70999999999998</v>
      </c>
      <c r="J160" s="72">
        <v>29.35</v>
      </c>
    </row>
    <row r="161" spans="1:10" ht="32.25" thickBot="1">
      <c r="A161" s="70" t="s">
        <v>188</v>
      </c>
      <c r="B161" s="70" t="s">
        <v>17</v>
      </c>
      <c r="C161" s="70" t="s">
        <v>12</v>
      </c>
      <c r="D161" s="70" t="s">
        <v>19</v>
      </c>
      <c r="E161" s="70" t="s">
        <v>14</v>
      </c>
      <c r="F161" s="70" t="s">
        <v>20</v>
      </c>
      <c r="G161" s="71">
        <v>45086</v>
      </c>
      <c r="H161" s="63">
        <v>42</v>
      </c>
      <c r="I161" s="63">
        <v>177.54</v>
      </c>
      <c r="J161" s="72">
        <v>170.87</v>
      </c>
    </row>
    <row r="162" spans="1:10" ht="32.25" thickBot="1">
      <c r="A162" s="70" t="s">
        <v>189</v>
      </c>
      <c r="B162" s="70" t="s">
        <v>11</v>
      </c>
      <c r="C162" s="70" t="s">
        <v>26</v>
      </c>
      <c r="D162" s="70" t="s">
        <v>27</v>
      </c>
      <c r="E162" s="70" t="s">
        <v>24</v>
      </c>
      <c r="F162" s="70" t="s">
        <v>20</v>
      </c>
      <c r="G162" s="71">
        <v>45087</v>
      </c>
      <c r="H162" s="63">
        <v>143</v>
      </c>
      <c r="I162" s="63">
        <v>83.85</v>
      </c>
      <c r="J162" s="72">
        <v>34.880000000000003</v>
      </c>
    </row>
    <row r="163" spans="1:10" ht="32.25" thickBot="1">
      <c r="A163" s="70" t="s">
        <v>190</v>
      </c>
      <c r="B163" s="70" t="s">
        <v>22</v>
      </c>
      <c r="C163" s="70" t="s">
        <v>26</v>
      </c>
      <c r="D163" s="70" t="s">
        <v>23</v>
      </c>
      <c r="E163" s="70" t="s">
        <v>14</v>
      </c>
      <c r="F163" s="70" t="s">
        <v>15</v>
      </c>
      <c r="G163" s="71">
        <v>45088</v>
      </c>
      <c r="H163" s="63">
        <v>376</v>
      </c>
      <c r="I163" s="63">
        <v>304.45</v>
      </c>
      <c r="J163" s="72">
        <v>206.83</v>
      </c>
    </row>
    <row r="164" spans="1:10" ht="32.25" thickBot="1">
      <c r="A164" s="70" t="s">
        <v>191</v>
      </c>
      <c r="B164" s="70" t="s">
        <v>17</v>
      </c>
      <c r="C164" s="70" t="s">
        <v>50</v>
      </c>
      <c r="D164" s="70" t="s">
        <v>42</v>
      </c>
      <c r="E164" s="70" t="s">
        <v>14</v>
      </c>
      <c r="F164" s="70" t="s">
        <v>15</v>
      </c>
      <c r="G164" s="71">
        <v>45089</v>
      </c>
      <c r="H164" s="63">
        <v>88</v>
      </c>
      <c r="I164" s="63">
        <v>162.47</v>
      </c>
      <c r="J164" s="72">
        <v>359.76</v>
      </c>
    </row>
    <row r="165" spans="1:10" ht="32.25" thickBot="1">
      <c r="A165" s="70" t="s">
        <v>192</v>
      </c>
      <c r="B165" s="70" t="s">
        <v>17</v>
      </c>
      <c r="C165" s="70" t="s">
        <v>26</v>
      </c>
      <c r="D165" s="70" t="s">
        <v>13</v>
      </c>
      <c r="E165" s="70" t="s">
        <v>14</v>
      </c>
      <c r="F165" s="70" t="s">
        <v>20</v>
      </c>
      <c r="G165" s="71">
        <v>45090</v>
      </c>
      <c r="H165" s="63">
        <v>425</v>
      </c>
      <c r="I165" s="63">
        <v>433.89</v>
      </c>
      <c r="J165" s="72">
        <v>313.43</v>
      </c>
    </row>
    <row r="166" spans="1:10" ht="32.25" thickBot="1">
      <c r="A166" s="70" t="s">
        <v>193</v>
      </c>
      <c r="B166" s="70" t="s">
        <v>48</v>
      </c>
      <c r="C166" s="70" t="s">
        <v>50</v>
      </c>
      <c r="D166" s="70" t="s">
        <v>13</v>
      </c>
      <c r="E166" s="70" t="s">
        <v>24</v>
      </c>
      <c r="F166" s="70" t="s">
        <v>15</v>
      </c>
      <c r="G166" s="71">
        <v>45091</v>
      </c>
      <c r="H166" s="63">
        <v>444</v>
      </c>
      <c r="I166" s="63">
        <v>496.7</v>
      </c>
      <c r="J166" s="72">
        <v>92.68</v>
      </c>
    </row>
    <row r="167" spans="1:10" ht="32.25" thickBot="1">
      <c r="A167" s="70" t="s">
        <v>194</v>
      </c>
      <c r="B167" s="70" t="s">
        <v>22</v>
      </c>
      <c r="C167" s="70" t="s">
        <v>18</v>
      </c>
      <c r="D167" s="70" t="s">
        <v>19</v>
      </c>
      <c r="E167" s="70" t="s">
        <v>14</v>
      </c>
      <c r="F167" s="70" t="s">
        <v>28</v>
      </c>
      <c r="G167" s="71">
        <v>45092</v>
      </c>
      <c r="H167" s="63">
        <v>468</v>
      </c>
      <c r="I167" s="63">
        <v>377.45</v>
      </c>
      <c r="J167" s="72">
        <v>390.44</v>
      </c>
    </row>
    <row r="168" spans="1:10" ht="32.25" thickBot="1">
      <c r="A168" s="70" t="s">
        <v>195</v>
      </c>
      <c r="B168" s="70" t="s">
        <v>17</v>
      </c>
      <c r="C168" s="70" t="s">
        <v>12</v>
      </c>
      <c r="D168" s="70" t="s">
        <v>27</v>
      </c>
      <c r="E168" s="70" t="s">
        <v>14</v>
      </c>
      <c r="F168" s="70" t="s">
        <v>28</v>
      </c>
      <c r="G168" s="71">
        <v>45093</v>
      </c>
      <c r="H168" s="63">
        <v>67</v>
      </c>
      <c r="I168" s="63">
        <v>49.79</v>
      </c>
      <c r="J168" s="72">
        <v>267.61</v>
      </c>
    </row>
    <row r="169" spans="1:10" ht="32.25" thickBot="1">
      <c r="A169" s="70" t="s">
        <v>196</v>
      </c>
      <c r="B169" s="70" t="s">
        <v>11</v>
      </c>
      <c r="C169" s="70" t="s">
        <v>50</v>
      </c>
      <c r="D169" s="70" t="s">
        <v>42</v>
      </c>
      <c r="E169" s="70" t="s">
        <v>24</v>
      </c>
      <c r="F169" s="70" t="s">
        <v>15</v>
      </c>
      <c r="G169" s="71">
        <v>45094</v>
      </c>
      <c r="H169" s="63">
        <v>480</v>
      </c>
      <c r="I169" s="63">
        <v>147.9</v>
      </c>
      <c r="J169" s="72">
        <v>6.15</v>
      </c>
    </row>
    <row r="170" spans="1:10" ht="32.25" thickBot="1">
      <c r="A170" s="70" t="s">
        <v>197</v>
      </c>
      <c r="B170" s="70" t="s">
        <v>11</v>
      </c>
      <c r="C170" s="70" t="s">
        <v>18</v>
      </c>
      <c r="D170" s="70" t="s">
        <v>27</v>
      </c>
      <c r="E170" s="70" t="s">
        <v>24</v>
      </c>
      <c r="F170" s="70" t="s">
        <v>28</v>
      </c>
      <c r="G170" s="71">
        <v>45095</v>
      </c>
      <c r="H170" s="63">
        <v>35</v>
      </c>
      <c r="I170" s="63">
        <v>59.01</v>
      </c>
      <c r="J170" s="72">
        <v>103.65</v>
      </c>
    </row>
    <row r="171" spans="1:10" ht="32.25" thickBot="1">
      <c r="A171" s="70" t="s">
        <v>198</v>
      </c>
      <c r="B171" s="70" t="s">
        <v>48</v>
      </c>
      <c r="C171" s="70" t="s">
        <v>26</v>
      </c>
      <c r="D171" s="70" t="s">
        <v>42</v>
      </c>
      <c r="E171" s="70" t="s">
        <v>24</v>
      </c>
      <c r="F171" s="70" t="s">
        <v>15</v>
      </c>
      <c r="G171" s="71">
        <v>45096</v>
      </c>
      <c r="H171" s="63">
        <v>491</v>
      </c>
      <c r="I171" s="63">
        <v>327</v>
      </c>
      <c r="J171" s="72">
        <v>105.76</v>
      </c>
    </row>
    <row r="172" spans="1:10" ht="32.25" thickBot="1">
      <c r="A172" s="70" t="s">
        <v>199</v>
      </c>
      <c r="B172" s="70" t="s">
        <v>17</v>
      </c>
      <c r="C172" s="70" t="s">
        <v>26</v>
      </c>
      <c r="D172" s="70" t="s">
        <v>19</v>
      </c>
      <c r="E172" s="70" t="s">
        <v>24</v>
      </c>
      <c r="F172" s="70" t="s">
        <v>20</v>
      </c>
      <c r="G172" s="71">
        <v>45097</v>
      </c>
      <c r="H172" s="63">
        <v>439</v>
      </c>
      <c r="I172" s="63">
        <v>383.77</v>
      </c>
      <c r="J172" s="72">
        <v>29.56</v>
      </c>
    </row>
    <row r="173" spans="1:10" ht="32.25" thickBot="1">
      <c r="A173" s="70" t="s">
        <v>200</v>
      </c>
      <c r="B173" s="70" t="s">
        <v>22</v>
      </c>
      <c r="C173" s="70" t="s">
        <v>18</v>
      </c>
      <c r="D173" s="70" t="s">
        <v>19</v>
      </c>
      <c r="E173" s="70" t="s">
        <v>14</v>
      </c>
      <c r="F173" s="70" t="s">
        <v>20</v>
      </c>
      <c r="G173" s="71">
        <v>45098</v>
      </c>
      <c r="H173" s="63">
        <v>235</v>
      </c>
      <c r="I173" s="63">
        <v>463.21</v>
      </c>
      <c r="J173" s="72">
        <v>384.01</v>
      </c>
    </row>
    <row r="174" spans="1:10" ht="32.25" thickBot="1">
      <c r="A174" s="70" t="s">
        <v>201</v>
      </c>
      <c r="B174" s="70" t="s">
        <v>11</v>
      </c>
      <c r="C174" s="70" t="s">
        <v>26</v>
      </c>
      <c r="D174" s="70" t="s">
        <v>13</v>
      </c>
      <c r="E174" s="70" t="s">
        <v>14</v>
      </c>
      <c r="F174" s="70" t="s">
        <v>28</v>
      </c>
      <c r="G174" s="71">
        <v>45099</v>
      </c>
      <c r="H174" s="63">
        <v>294</v>
      </c>
      <c r="I174" s="63">
        <v>221.9</v>
      </c>
      <c r="J174" s="72">
        <v>192.35</v>
      </c>
    </row>
    <row r="175" spans="1:10" ht="32.25" thickBot="1">
      <c r="A175" s="70" t="s">
        <v>202</v>
      </c>
      <c r="B175" s="70" t="s">
        <v>17</v>
      </c>
      <c r="C175" s="70" t="s">
        <v>18</v>
      </c>
      <c r="D175" s="70" t="s">
        <v>27</v>
      </c>
      <c r="E175" s="70" t="s">
        <v>14</v>
      </c>
      <c r="F175" s="70" t="s">
        <v>15</v>
      </c>
      <c r="G175" s="71">
        <v>45100</v>
      </c>
      <c r="H175" s="63">
        <v>13</v>
      </c>
      <c r="I175" s="63">
        <v>451.18</v>
      </c>
      <c r="J175" s="72">
        <v>358.53</v>
      </c>
    </row>
    <row r="176" spans="1:10" ht="32.25" thickBot="1">
      <c r="A176" s="70" t="s">
        <v>203</v>
      </c>
      <c r="B176" s="70" t="s">
        <v>17</v>
      </c>
      <c r="C176" s="70" t="s">
        <v>50</v>
      </c>
      <c r="D176" s="70" t="s">
        <v>13</v>
      </c>
      <c r="E176" s="70" t="s">
        <v>14</v>
      </c>
      <c r="F176" s="70" t="s">
        <v>15</v>
      </c>
      <c r="G176" s="71">
        <v>45101</v>
      </c>
      <c r="H176" s="63">
        <v>474</v>
      </c>
      <c r="I176" s="63">
        <v>439.56</v>
      </c>
      <c r="J176" s="72">
        <v>130.24</v>
      </c>
    </row>
    <row r="177" spans="1:10" ht="32.25" thickBot="1">
      <c r="A177" s="70" t="s">
        <v>204</v>
      </c>
      <c r="B177" s="70" t="s">
        <v>48</v>
      </c>
      <c r="C177" s="70" t="s">
        <v>50</v>
      </c>
      <c r="D177" s="70" t="s">
        <v>27</v>
      </c>
      <c r="E177" s="70" t="s">
        <v>24</v>
      </c>
      <c r="F177" s="70" t="s">
        <v>28</v>
      </c>
      <c r="G177" s="71">
        <v>45102</v>
      </c>
      <c r="H177" s="63">
        <v>108</v>
      </c>
      <c r="I177" s="63">
        <v>162.01</v>
      </c>
      <c r="J177" s="72">
        <v>51.84</v>
      </c>
    </row>
    <row r="178" spans="1:10" ht="32.25" thickBot="1">
      <c r="A178" s="70" t="s">
        <v>205</v>
      </c>
      <c r="B178" s="70" t="s">
        <v>11</v>
      </c>
      <c r="C178" s="70" t="s">
        <v>18</v>
      </c>
      <c r="D178" s="70" t="s">
        <v>13</v>
      </c>
      <c r="E178" s="70" t="s">
        <v>14</v>
      </c>
      <c r="F178" s="70" t="s">
        <v>20</v>
      </c>
      <c r="G178" s="71">
        <v>45103</v>
      </c>
      <c r="H178" s="63">
        <v>406</v>
      </c>
      <c r="I178" s="63">
        <v>435.11</v>
      </c>
      <c r="J178" s="72">
        <v>190.79</v>
      </c>
    </row>
    <row r="179" spans="1:10" ht="32.25" thickBot="1">
      <c r="A179" s="70" t="s">
        <v>206</v>
      </c>
      <c r="B179" s="70" t="s">
        <v>11</v>
      </c>
      <c r="C179" s="70" t="s">
        <v>50</v>
      </c>
      <c r="D179" s="70" t="s">
        <v>23</v>
      </c>
      <c r="E179" s="70" t="s">
        <v>14</v>
      </c>
      <c r="F179" s="70" t="s">
        <v>28</v>
      </c>
      <c r="G179" s="71">
        <v>45104</v>
      </c>
      <c r="H179" s="63">
        <v>498</v>
      </c>
      <c r="I179" s="63">
        <v>190.96</v>
      </c>
      <c r="J179" s="72">
        <v>47.35</v>
      </c>
    </row>
    <row r="180" spans="1:10" ht="32.25" thickBot="1">
      <c r="A180" s="70" t="s">
        <v>207</v>
      </c>
      <c r="B180" s="70" t="s">
        <v>22</v>
      </c>
      <c r="C180" s="70" t="s">
        <v>50</v>
      </c>
      <c r="D180" s="70" t="s">
        <v>23</v>
      </c>
      <c r="E180" s="70" t="s">
        <v>24</v>
      </c>
      <c r="F180" s="70" t="s">
        <v>20</v>
      </c>
      <c r="G180" s="71">
        <v>45105</v>
      </c>
      <c r="H180" s="63">
        <v>48</v>
      </c>
      <c r="I180" s="63">
        <v>151.94999999999999</v>
      </c>
      <c r="J180" s="72">
        <v>195.43</v>
      </c>
    </row>
    <row r="181" spans="1:10" ht="32.25" thickBot="1">
      <c r="A181" s="70" t="s">
        <v>208</v>
      </c>
      <c r="B181" s="70" t="s">
        <v>11</v>
      </c>
      <c r="C181" s="70" t="s">
        <v>50</v>
      </c>
      <c r="D181" s="70" t="s">
        <v>23</v>
      </c>
      <c r="E181" s="70" t="s">
        <v>14</v>
      </c>
      <c r="F181" s="70" t="s">
        <v>15</v>
      </c>
      <c r="G181" s="71">
        <v>45106</v>
      </c>
      <c r="H181" s="63">
        <v>280</v>
      </c>
      <c r="I181" s="63">
        <v>326.29000000000002</v>
      </c>
      <c r="J181" s="72">
        <v>368.28</v>
      </c>
    </row>
    <row r="182" spans="1:10" ht="32.25" thickBot="1">
      <c r="A182" s="70" t="s">
        <v>209</v>
      </c>
      <c r="B182" s="70" t="s">
        <v>22</v>
      </c>
      <c r="C182" s="70" t="s">
        <v>31</v>
      </c>
      <c r="D182" s="70" t="s">
        <v>23</v>
      </c>
      <c r="E182" s="70" t="s">
        <v>14</v>
      </c>
      <c r="F182" s="70" t="s">
        <v>20</v>
      </c>
      <c r="G182" s="71">
        <v>45107</v>
      </c>
      <c r="H182" s="63">
        <v>384</v>
      </c>
      <c r="I182" s="63">
        <v>167.55</v>
      </c>
      <c r="J182" s="72">
        <v>209.27</v>
      </c>
    </row>
    <row r="183" spans="1:10" ht="32.25" thickBot="1">
      <c r="A183" s="70" t="s">
        <v>210</v>
      </c>
      <c r="B183" s="70" t="s">
        <v>11</v>
      </c>
      <c r="C183" s="70" t="s">
        <v>12</v>
      </c>
      <c r="D183" s="70" t="s">
        <v>42</v>
      </c>
      <c r="E183" s="70" t="s">
        <v>14</v>
      </c>
      <c r="F183" s="70" t="s">
        <v>28</v>
      </c>
      <c r="G183" s="71">
        <v>45108</v>
      </c>
      <c r="H183" s="63">
        <v>294</v>
      </c>
      <c r="I183" s="63">
        <v>316.95</v>
      </c>
      <c r="J183" s="72">
        <v>247.37</v>
      </c>
    </row>
    <row r="184" spans="1:10" ht="32.25" thickBot="1">
      <c r="A184" s="70" t="s">
        <v>211</v>
      </c>
      <c r="B184" s="70" t="s">
        <v>48</v>
      </c>
      <c r="C184" s="70" t="s">
        <v>26</v>
      </c>
      <c r="D184" s="70" t="s">
        <v>23</v>
      </c>
      <c r="E184" s="70" t="s">
        <v>14</v>
      </c>
      <c r="F184" s="70" t="s">
        <v>15</v>
      </c>
      <c r="G184" s="71">
        <v>45109</v>
      </c>
      <c r="H184" s="63">
        <v>166</v>
      </c>
      <c r="I184" s="63">
        <v>306.87</v>
      </c>
      <c r="J184" s="72">
        <v>64.34</v>
      </c>
    </row>
    <row r="185" spans="1:10" ht="32.25" thickBot="1">
      <c r="A185" s="70" t="s">
        <v>212</v>
      </c>
      <c r="B185" s="70" t="s">
        <v>11</v>
      </c>
      <c r="C185" s="70" t="s">
        <v>31</v>
      </c>
      <c r="D185" s="70" t="s">
        <v>19</v>
      </c>
      <c r="E185" s="70" t="s">
        <v>14</v>
      </c>
      <c r="F185" s="70" t="s">
        <v>28</v>
      </c>
      <c r="G185" s="71">
        <v>45110</v>
      </c>
      <c r="H185" s="63">
        <v>84</v>
      </c>
      <c r="I185" s="63">
        <v>283.89999999999998</v>
      </c>
      <c r="J185" s="72">
        <v>19.41</v>
      </c>
    </row>
    <row r="186" spans="1:10" ht="32.25" thickBot="1">
      <c r="A186" s="70" t="s">
        <v>213</v>
      </c>
      <c r="B186" s="70" t="s">
        <v>22</v>
      </c>
      <c r="C186" s="70" t="s">
        <v>50</v>
      </c>
      <c r="D186" s="70" t="s">
        <v>19</v>
      </c>
      <c r="E186" s="70" t="s">
        <v>14</v>
      </c>
      <c r="F186" s="70" t="s">
        <v>28</v>
      </c>
      <c r="G186" s="71">
        <v>45111</v>
      </c>
      <c r="H186" s="63">
        <v>381</v>
      </c>
      <c r="I186" s="63">
        <v>193.31</v>
      </c>
      <c r="J186" s="72">
        <v>46.1</v>
      </c>
    </row>
    <row r="187" spans="1:10" ht="32.25" thickBot="1">
      <c r="A187" s="70" t="s">
        <v>214</v>
      </c>
      <c r="B187" s="70" t="s">
        <v>22</v>
      </c>
      <c r="C187" s="70" t="s">
        <v>18</v>
      </c>
      <c r="D187" s="70" t="s">
        <v>42</v>
      </c>
      <c r="E187" s="70" t="s">
        <v>24</v>
      </c>
      <c r="F187" s="70" t="s">
        <v>20</v>
      </c>
      <c r="G187" s="71">
        <v>45112</v>
      </c>
      <c r="H187" s="63">
        <v>297</v>
      </c>
      <c r="I187" s="63">
        <v>276.51</v>
      </c>
      <c r="J187" s="72">
        <v>240.22</v>
      </c>
    </row>
    <row r="188" spans="1:10" ht="32.25" thickBot="1">
      <c r="A188" s="70" t="s">
        <v>215</v>
      </c>
      <c r="B188" s="70" t="s">
        <v>48</v>
      </c>
      <c r="C188" s="70" t="s">
        <v>50</v>
      </c>
      <c r="D188" s="70" t="s">
        <v>23</v>
      </c>
      <c r="E188" s="70" t="s">
        <v>24</v>
      </c>
      <c r="F188" s="70" t="s">
        <v>28</v>
      </c>
      <c r="G188" s="71">
        <v>45113</v>
      </c>
      <c r="H188" s="63">
        <v>139</v>
      </c>
      <c r="I188" s="63">
        <v>300.26</v>
      </c>
      <c r="J188" s="72">
        <v>39.81</v>
      </c>
    </row>
    <row r="189" spans="1:10" ht="32.25" thickBot="1">
      <c r="A189" s="70" t="s">
        <v>216</v>
      </c>
      <c r="B189" s="70" t="s">
        <v>11</v>
      </c>
      <c r="C189" s="70" t="s">
        <v>12</v>
      </c>
      <c r="D189" s="70" t="s">
        <v>23</v>
      </c>
      <c r="E189" s="70" t="s">
        <v>14</v>
      </c>
      <c r="F189" s="70" t="s">
        <v>20</v>
      </c>
      <c r="G189" s="71">
        <v>45114</v>
      </c>
      <c r="H189" s="63">
        <v>184</v>
      </c>
      <c r="I189" s="63">
        <v>275.12</v>
      </c>
      <c r="J189" s="72">
        <v>151.65</v>
      </c>
    </row>
    <row r="190" spans="1:10" ht="32.25" thickBot="1">
      <c r="A190" s="70" t="s">
        <v>217</v>
      </c>
      <c r="B190" s="70" t="s">
        <v>11</v>
      </c>
      <c r="C190" s="70" t="s">
        <v>50</v>
      </c>
      <c r="D190" s="70" t="s">
        <v>23</v>
      </c>
      <c r="E190" s="70" t="s">
        <v>14</v>
      </c>
      <c r="F190" s="70" t="s">
        <v>15</v>
      </c>
      <c r="G190" s="71">
        <v>45115</v>
      </c>
      <c r="H190" s="63">
        <v>471</v>
      </c>
      <c r="I190" s="63">
        <v>224.99</v>
      </c>
      <c r="J190" s="72">
        <v>220.94</v>
      </c>
    </row>
    <row r="191" spans="1:10" ht="32.25" thickBot="1">
      <c r="A191" s="70" t="s">
        <v>218</v>
      </c>
      <c r="B191" s="70" t="s">
        <v>48</v>
      </c>
      <c r="C191" s="70" t="s">
        <v>18</v>
      </c>
      <c r="D191" s="70" t="s">
        <v>13</v>
      </c>
      <c r="E191" s="70" t="s">
        <v>24</v>
      </c>
      <c r="F191" s="70" t="s">
        <v>20</v>
      </c>
      <c r="G191" s="71">
        <v>45116</v>
      </c>
      <c r="H191" s="63">
        <v>93</v>
      </c>
      <c r="I191" s="63">
        <v>12.26</v>
      </c>
      <c r="J191" s="72">
        <v>156.68</v>
      </c>
    </row>
    <row r="192" spans="1:10" ht="32.25" thickBot="1">
      <c r="A192" s="70" t="s">
        <v>219</v>
      </c>
      <c r="B192" s="70" t="s">
        <v>11</v>
      </c>
      <c r="C192" s="70" t="s">
        <v>12</v>
      </c>
      <c r="D192" s="70" t="s">
        <v>27</v>
      </c>
      <c r="E192" s="70" t="s">
        <v>14</v>
      </c>
      <c r="F192" s="70" t="s">
        <v>15</v>
      </c>
      <c r="G192" s="71">
        <v>45117</v>
      </c>
      <c r="H192" s="63">
        <v>31</v>
      </c>
      <c r="I192" s="63">
        <v>295.60000000000002</v>
      </c>
      <c r="J192" s="72">
        <v>67.150000000000006</v>
      </c>
    </row>
    <row r="193" spans="1:10" ht="32.25" thickBot="1">
      <c r="A193" s="70" t="s">
        <v>220</v>
      </c>
      <c r="B193" s="70" t="s">
        <v>11</v>
      </c>
      <c r="C193" s="70" t="s">
        <v>50</v>
      </c>
      <c r="D193" s="70" t="s">
        <v>13</v>
      </c>
      <c r="E193" s="70" t="s">
        <v>14</v>
      </c>
      <c r="F193" s="70" t="s">
        <v>20</v>
      </c>
      <c r="G193" s="71">
        <v>45118</v>
      </c>
      <c r="H193" s="63">
        <v>468</v>
      </c>
      <c r="I193" s="63">
        <v>88.38</v>
      </c>
      <c r="J193" s="72">
        <v>110.97</v>
      </c>
    </row>
    <row r="194" spans="1:10" ht="32.25" thickBot="1">
      <c r="A194" s="70" t="s">
        <v>221</v>
      </c>
      <c r="B194" s="70" t="s">
        <v>22</v>
      </c>
      <c r="C194" s="70" t="s">
        <v>12</v>
      </c>
      <c r="D194" s="70" t="s">
        <v>27</v>
      </c>
      <c r="E194" s="70" t="s">
        <v>14</v>
      </c>
      <c r="F194" s="70" t="s">
        <v>28</v>
      </c>
      <c r="G194" s="71">
        <v>45119</v>
      </c>
      <c r="H194" s="63">
        <v>36</v>
      </c>
      <c r="I194" s="63">
        <v>323.08</v>
      </c>
      <c r="J194" s="72">
        <v>371.47</v>
      </c>
    </row>
    <row r="195" spans="1:10" ht="32.25" thickBot="1">
      <c r="A195" s="70" t="s">
        <v>222</v>
      </c>
      <c r="B195" s="70" t="s">
        <v>11</v>
      </c>
      <c r="C195" s="70" t="s">
        <v>26</v>
      </c>
      <c r="D195" s="70" t="s">
        <v>23</v>
      </c>
      <c r="E195" s="70" t="s">
        <v>24</v>
      </c>
      <c r="F195" s="70" t="s">
        <v>20</v>
      </c>
      <c r="G195" s="71">
        <v>45120</v>
      </c>
      <c r="H195" s="63">
        <v>204</v>
      </c>
      <c r="I195" s="63">
        <v>380.88</v>
      </c>
      <c r="J195" s="72">
        <v>271.04000000000002</v>
      </c>
    </row>
    <row r="196" spans="1:10" ht="32.25" thickBot="1">
      <c r="A196" s="70" t="s">
        <v>223</v>
      </c>
      <c r="B196" s="70" t="s">
        <v>11</v>
      </c>
      <c r="C196" s="70" t="s">
        <v>26</v>
      </c>
      <c r="D196" s="70" t="s">
        <v>23</v>
      </c>
      <c r="E196" s="70" t="s">
        <v>14</v>
      </c>
      <c r="F196" s="70" t="s">
        <v>20</v>
      </c>
      <c r="G196" s="71">
        <v>45121</v>
      </c>
      <c r="H196" s="63">
        <v>346</v>
      </c>
      <c r="I196" s="63">
        <v>252.72</v>
      </c>
      <c r="J196" s="72">
        <v>199.43</v>
      </c>
    </row>
    <row r="197" spans="1:10" ht="32.25" thickBot="1">
      <c r="A197" s="70" t="s">
        <v>224</v>
      </c>
      <c r="B197" s="70" t="s">
        <v>48</v>
      </c>
      <c r="C197" s="70" t="s">
        <v>50</v>
      </c>
      <c r="D197" s="70" t="s">
        <v>13</v>
      </c>
      <c r="E197" s="70" t="s">
        <v>24</v>
      </c>
      <c r="F197" s="70" t="s">
        <v>15</v>
      </c>
      <c r="G197" s="71">
        <v>45122</v>
      </c>
      <c r="H197" s="63">
        <v>391</v>
      </c>
      <c r="I197" s="63">
        <v>273.47000000000003</v>
      </c>
      <c r="J197" s="72">
        <v>7.06</v>
      </c>
    </row>
    <row r="198" spans="1:10" ht="32.25" thickBot="1">
      <c r="A198" s="70" t="s">
        <v>225</v>
      </c>
      <c r="B198" s="70" t="s">
        <v>48</v>
      </c>
      <c r="C198" s="70" t="s">
        <v>12</v>
      </c>
      <c r="D198" s="70" t="s">
        <v>13</v>
      </c>
      <c r="E198" s="70" t="s">
        <v>14</v>
      </c>
      <c r="F198" s="70" t="s">
        <v>28</v>
      </c>
      <c r="G198" s="71">
        <v>45123</v>
      </c>
      <c r="H198" s="63">
        <v>245</v>
      </c>
      <c r="I198" s="63">
        <v>475.98</v>
      </c>
      <c r="J198" s="72">
        <v>396.98</v>
      </c>
    </row>
    <row r="199" spans="1:10" ht="32.25" thickBot="1">
      <c r="A199" s="70" t="s">
        <v>226</v>
      </c>
      <c r="B199" s="70" t="s">
        <v>17</v>
      </c>
      <c r="C199" s="70" t="s">
        <v>18</v>
      </c>
      <c r="D199" s="70" t="s">
        <v>27</v>
      </c>
      <c r="E199" s="70" t="s">
        <v>24</v>
      </c>
      <c r="F199" s="70" t="s">
        <v>20</v>
      </c>
      <c r="G199" s="71">
        <v>45124</v>
      </c>
      <c r="H199" s="63">
        <v>449</v>
      </c>
      <c r="I199" s="63">
        <v>424.35</v>
      </c>
      <c r="J199" s="72">
        <v>269.24</v>
      </c>
    </row>
    <row r="200" spans="1:10" ht="32.25" thickBot="1">
      <c r="A200" s="70" t="s">
        <v>227</v>
      </c>
      <c r="B200" s="70" t="s">
        <v>22</v>
      </c>
      <c r="C200" s="70" t="s">
        <v>50</v>
      </c>
      <c r="D200" s="70" t="s">
        <v>19</v>
      </c>
      <c r="E200" s="70" t="s">
        <v>24</v>
      </c>
      <c r="F200" s="70" t="s">
        <v>28</v>
      </c>
      <c r="G200" s="71">
        <v>45125</v>
      </c>
      <c r="H200" s="63">
        <v>101</v>
      </c>
      <c r="I200" s="63">
        <v>457.55</v>
      </c>
      <c r="J200" s="72">
        <v>128.13999999999999</v>
      </c>
    </row>
    <row r="201" spans="1:10" ht="32.25" thickBot="1">
      <c r="A201" s="70" t="s">
        <v>228</v>
      </c>
      <c r="B201" s="70" t="s">
        <v>11</v>
      </c>
      <c r="C201" s="70" t="s">
        <v>26</v>
      </c>
      <c r="D201" s="70" t="s">
        <v>27</v>
      </c>
      <c r="E201" s="70" t="s">
        <v>14</v>
      </c>
      <c r="F201" s="70" t="s">
        <v>20</v>
      </c>
      <c r="G201" s="71">
        <v>45126</v>
      </c>
      <c r="H201" s="63">
        <v>248.5</v>
      </c>
      <c r="I201" s="63">
        <v>407.81</v>
      </c>
      <c r="J201" s="72">
        <v>351.95</v>
      </c>
    </row>
    <row r="202" spans="1:10" ht="32.25" thickBot="1">
      <c r="A202" s="70" t="s">
        <v>229</v>
      </c>
      <c r="B202" s="70" t="s">
        <v>11</v>
      </c>
      <c r="C202" s="70" t="s">
        <v>26</v>
      </c>
      <c r="D202" s="70" t="s">
        <v>13</v>
      </c>
      <c r="E202" s="70" t="s">
        <v>24</v>
      </c>
      <c r="F202" s="70" t="s">
        <v>20</v>
      </c>
      <c r="G202" s="71">
        <v>45127</v>
      </c>
      <c r="H202" s="63">
        <v>30</v>
      </c>
      <c r="I202" s="63">
        <v>58.91</v>
      </c>
      <c r="J202" s="72">
        <v>104.86</v>
      </c>
    </row>
    <row r="203" spans="1:10" ht="32.25" thickBot="1">
      <c r="A203" s="70" t="s">
        <v>230</v>
      </c>
      <c r="B203" s="70" t="s">
        <v>17</v>
      </c>
      <c r="C203" s="70" t="s">
        <v>50</v>
      </c>
      <c r="D203" s="70" t="s">
        <v>13</v>
      </c>
      <c r="E203" s="70" t="s">
        <v>14</v>
      </c>
      <c r="F203" s="70" t="s">
        <v>28</v>
      </c>
      <c r="G203" s="71">
        <v>45128</v>
      </c>
      <c r="H203" s="63">
        <v>312</v>
      </c>
      <c r="I203" s="63">
        <v>78.75</v>
      </c>
      <c r="J203" s="72">
        <v>218.52</v>
      </c>
    </row>
    <row r="204" spans="1:10" ht="32.25" thickBot="1">
      <c r="A204" s="70" t="s">
        <v>231</v>
      </c>
      <c r="B204" s="70" t="s">
        <v>11</v>
      </c>
      <c r="C204" s="70" t="s">
        <v>12</v>
      </c>
      <c r="D204" s="70" t="s">
        <v>42</v>
      </c>
      <c r="E204" s="70" t="s">
        <v>24</v>
      </c>
      <c r="F204" s="70" t="s">
        <v>20</v>
      </c>
      <c r="G204" s="71">
        <v>45129</v>
      </c>
      <c r="H204" s="63">
        <v>473</v>
      </c>
      <c r="I204" s="63">
        <v>265.68</v>
      </c>
      <c r="J204" s="72">
        <v>255.16</v>
      </c>
    </row>
    <row r="205" spans="1:10" ht="32.25" thickBot="1">
      <c r="A205" s="70" t="s">
        <v>232</v>
      </c>
      <c r="B205" s="70" t="s">
        <v>22</v>
      </c>
      <c r="C205" s="70" t="s">
        <v>26</v>
      </c>
      <c r="D205" s="70" t="s">
        <v>13</v>
      </c>
      <c r="E205" s="70" t="s">
        <v>14</v>
      </c>
      <c r="F205" s="70" t="s">
        <v>28</v>
      </c>
      <c r="G205" s="71">
        <v>45130</v>
      </c>
      <c r="H205" s="63">
        <v>366</v>
      </c>
      <c r="I205" s="63">
        <v>126.8</v>
      </c>
      <c r="J205" s="72">
        <v>89.98</v>
      </c>
    </row>
    <row r="206" spans="1:10" ht="32.25" thickBot="1">
      <c r="A206" s="70" t="s">
        <v>233</v>
      </c>
      <c r="B206" s="70" t="s">
        <v>17</v>
      </c>
      <c r="C206" s="70" t="s">
        <v>12</v>
      </c>
      <c r="D206" s="70" t="s">
        <v>42</v>
      </c>
      <c r="E206" s="70" t="s">
        <v>14</v>
      </c>
      <c r="F206" s="70" t="s">
        <v>20</v>
      </c>
      <c r="G206" s="71">
        <v>45131</v>
      </c>
      <c r="H206" s="63">
        <v>452</v>
      </c>
      <c r="I206" s="63">
        <v>240.96</v>
      </c>
      <c r="J206" s="72">
        <v>391.4</v>
      </c>
    </row>
    <row r="207" spans="1:10" ht="32.25" thickBot="1">
      <c r="A207" s="70" t="s">
        <v>234</v>
      </c>
      <c r="B207" s="70" t="s">
        <v>22</v>
      </c>
      <c r="C207" s="70" t="s">
        <v>26</v>
      </c>
      <c r="D207" s="70" t="s">
        <v>19</v>
      </c>
      <c r="E207" s="70" t="s">
        <v>24</v>
      </c>
      <c r="F207" s="70" t="s">
        <v>15</v>
      </c>
      <c r="G207" s="71">
        <v>45132</v>
      </c>
      <c r="H207" s="63">
        <v>93</v>
      </c>
      <c r="I207" s="63">
        <v>200.21</v>
      </c>
      <c r="J207" s="72">
        <v>299.77999999999997</v>
      </c>
    </row>
    <row r="208" spans="1:10" ht="32.25" thickBot="1">
      <c r="A208" s="70" t="s">
        <v>235</v>
      </c>
      <c r="B208" s="70" t="s">
        <v>17</v>
      </c>
      <c r="C208" s="70" t="s">
        <v>26</v>
      </c>
      <c r="D208" s="70" t="s">
        <v>27</v>
      </c>
      <c r="E208" s="70" t="s">
        <v>14</v>
      </c>
      <c r="F208" s="70" t="s">
        <v>28</v>
      </c>
      <c r="G208" s="71">
        <v>45133</v>
      </c>
      <c r="H208" s="63">
        <v>271</v>
      </c>
      <c r="I208" s="63">
        <v>276.95999999999998</v>
      </c>
      <c r="J208" s="72">
        <v>224.01</v>
      </c>
    </row>
    <row r="209" spans="1:10" ht="32.25" thickBot="1">
      <c r="A209" s="70" t="s">
        <v>236</v>
      </c>
      <c r="B209" s="70" t="s">
        <v>17</v>
      </c>
      <c r="C209" s="70" t="s">
        <v>31</v>
      </c>
      <c r="D209" s="70" t="s">
        <v>27</v>
      </c>
      <c r="E209" s="70" t="s">
        <v>14</v>
      </c>
      <c r="F209" s="70" t="s">
        <v>20</v>
      </c>
      <c r="G209" s="71">
        <v>45134</v>
      </c>
      <c r="H209" s="63">
        <v>156</v>
      </c>
      <c r="I209" s="63">
        <v>374.7</v>
      </c>
      <c r="J209" s="72">
        <v>73.88</v>
      </c>
    </row>
    <row r="210" spans="1:10" ht="32.25" thickBot="1">
      <c r="A210" s="70" t="s">
        <v>237</v>
      </c>
      <c r="B210" s="70" t="s">
        <v>48</v>
      </c>
      <c r="C210" s="70" t="s">
        <v>26</v>
      </c>
      <c r="D210" s="70" t="s">
        <v>42</v>
      </c>
      <c r="E210" s="70" t="s">
        <v>24</v>
      </c>
      <c r="F210" s="70" t="s">
        <v>20</v>
      </c>
      <c r="G210" s="71">
        <v>45135</v>
      </c>
      <c r="H210" s="63">
        <v>450</v>
      </c>
      <c r="I210" s="63">
        <v>359.17</v>
      </c>
      <c r="J210" s="72">
        <v>23.44</v>
      </c>
    </row>
    <row r="211" spans="1:10" ht="32.25" thickBot="1">
      <c r="A211" s="70" t="s">
        <v>238</v>
      </c>
      <c r="B211" s="70" t="s">
        <v>22</v>
      </c>
      <c r="C211" s="70" t="s">
        <v>18</v>
      </c>
      <c r="D211" s="70" t="s">
        <v>27</v>
      </c>
      <c r="E211" s="70" t="s">
        <v>14</v>
      </c>
      <c r="F211" s="70" t="s">
        <v>15</v>
      </c>
      <c r="G211" s="71">
        <v>45136</v>
      </c>
      <c r="H211" s="63">
        <v>462</v>
      </c>
      <c r="I211" s="63">
        <v>263.01</v>
      </c>
      <c r="J211" s="72">
        <v>129.38</v>
      </c>
    </row>
    <row r="212" spans="1:10" ht="32.25" thickBot="1">
      <c r="A212" s="70" t="s">
        <v>239</v>
      </c>
      <c r="B212" s="70" t="s">
        <v>11</v>
      </c>
      <c r="C212" s="70" t="s">
        <v>50</v>
      </c>
      <c r="D212" s="70"/>
      <c r="E212" s="70" t="s">
        <v>14</v>
      </c>
      <c r="F212" s="70" t="s">
        <v>28</v>
      </c>
      <c r="G212" s="71">
        <v>45137</v>
      </c>
      <c r="H212" s="63">
        <v>396</v>
      </c>
      <c r="I212" s="63">
        <v>412.08</v>
      </c>
      <c r="J212" s="72">
        <v>301.77</v>
      </c>
    </row>
    <row r="213" spans="1:10" ht="32.25" thickBot="1">
      <c r="A213" s="70" t="s">
        <v>240</v>
      </c>
      <c r="B213" s="70" t="s">
        <v>11</v>
      </c>
      <c r="C213" s="70" t="s">
        <v>50</v>
      </c>
      <c r="D213" s="70" t="s">
        <v>23</v>
      </c>
      <c r="E213" s="70" t="s">
        <v>24</v>
      </c>
      <c r="F213" s="70" t="s">
        <v>20</v>
      </c>
      <c r="G213" s="71">
        <v>45138</v>
      </c>
      <c r="H213" s="63">
        <v>266</v>
      </c>
      <c r="I213" s="63">
        <v>218.28</v>
      </c>
      <c r="J213" s="72">
        <v>109.19</v>
      </c>
    </row>
    <row r="214" spans="1:10" ht="32.25" thickBot="1">
      <c r="A214" s="70" t="s">
        <v>241</v>
      </c>
      <c r="B214" s="70" t="s">
        <v>22</v>
      </c>
      <c r="C214" s="70" t="s">
        <v>12</v>
      </c>
      <c r="D214" s="70" t="s">
        <v>42</v>
      </c>
      <c r="E214" s="70" t="s">
        <v>24</v>
      </c>
      <c r="F214" s="70" t="s">
        <v>15</v>
      </c>
      <c r="G214" s="71">
        <v>45139</v>
      </c>
      <c r="H214" s="63">
        <v>67</v>
      </c>
      <c r="I214" s="63">
        <v>448.87</v>
      </c>
      <c r="J214" s="72">
        <v>216.74</v>
      </c>
    </row>
    <row r="215" spans="1:10" ht="32.25" thickBot="1">
      <c r="A215" s="70" t="s">
        <v>242</v>
      </c>
      <c r="B215" s="70" t="s">
        <v>11</v>
      </c>
      <c r="C215" s="70" t="s">
        <v>26</v>
      </c>
      <c r="D215" s="70" t="s">
        <v>27</v>
      </c>
      <c r="E215" s="70" t="s">
        <v>14</v>
      </c>
      <c r="F215" s="70" t="s">
        <v>20</v>
      </c>
      <c r="G215" s="71">
        <v>45140</v>
      </c>
      <c r="H215" s="63">
        <v>389</v>
      </c>
      <c r="I215" s="63">
        <v>40.28</v>
      </c>
      <c r="J215" s="72">
        <v>291.72000000000003</v>
      </c>
    </row>
    <row r="216" spans="1:10" ht="32.25" thickBot="1">
      <c r="A216" s="70" t="s">
        <v>243</v>
      </c>
      <c r="B216" s="70" t="s">
        <v>11</v>
      </c>
      <c r="C216" s="70" t="s">
        <v>18</v>
      </c>
      <c r="D216" s="70" t="s">
        <v>42</v>
      </c>
      <c r="E216" s="70" t="s">
        <v>14</v>
      </c>
      <c r="F216" s="70" t="s">
        <v>28</v>
      </c>
      <c r="G216" s="71">
        <v>45141</v>
      </c>
      <c r="H216" s="63">
        <v>431</v>
      </c>
      <c r="I216" s="63">
        <v>477.56</v>
      </c>
      <c r="J216" s="72">
        <v>44.96</v>
      </c>
    </row>
    <row r="217" spans="1:10" ht="32.25" thickBot="1">
      <c r="A217" s="70" t="s">
        <v>244</v>
      </c>
      <c r="B217" s="70" t="s">
        <v>22</v>
      </c>
      <c r="C217" s="70" t="s">
        <v>12</v>
      </c>
      <c r="D217" s="70" t="s">
        <v>42</v>
      </c>
      <c r="E217" s="70" t="s">
        <v>24</v>
      </c>
      <c r="F217" s="70" t="s">
        <v>20</v>
      </c>
      <c r="G217" s="71">
        <v>45142</v>
      </c>
      <c r="H217" s="63">
        <v>24</v>
      </c>
      <c r="I217" s="63">
        <v>329.07</v>
      </c>
      <c r="J217" s="72">
        <v>274.75</v>
      </c>
    </row>
    <row r="218" spans="1:10" ht="32.25" thickBot="1">
      <c r="A218" s="70" t="s">
        <v>245</v>
      </c>
      <c r="B218" s="70" t="s">
        <v>17</v>
      </c>
      <c r="C218" s="70" t="s">
        <v>31</v>
      </c>
      <c r="D218" s="70" t="s">
        <v>23</v>
      </c>
      <c r="E218" s="70" t="s">
        <v>24</v>
      </c>
      <c r="F218" s="70" t="s">
        <v>20</v>
      </c>
      <c r="G218" s="71">
        <v>45143</v>
      </c>
      <c r="H218" s="63">
        <v>171</v>
      </c>
      <c r="I218" s="63">
        <v>193.14</v>
      </c>
      <c r="J218" s="72">
        <v>38.56</v>
      </c>
    </row>
    <row r="219" spans="1:10" ht="32.25" thickBot="1">
      <c r="A219" s="70" t="s">
        <v>246</v>
      </c>
      <c r="B219" s="70" t="s">
        <v>22</v>
      </c>
      <c r="C219" s="70" t="s">
        <v>12</v>
      </c>
      <c r="D219" s="70" t="s">
        <v>13</v>
      </c>
      <c r="E219" s="70" t="s">
        <v>14</v>
      </c>
      <c r="F219" s="70" t="s">
        <v>20</v>
      </c>
      <c r="G219" s="71">
        <v>45144</v>
      </c>
      <c r="H219" s="63">
        <v>454</v>
      </c>
      <c r="I219" s="63">
        <v>102.59</v>
      </c>
      <c r="J219" s="72">
        <v>386.12</v>
      </c>
    </row>
    <row r="220" spans="1:10" ht="32.25" thickBot="1">
      <c r="A220" s="70" t="s">
        <v>247</v>
      </c>
      <c r="B220" s="70" t="s">
        <v>17</v>
      </c>
      <c r="C220" s="70" t="s">
        <v>12</v>
      </c>
      <c r="D220" s="70" t="s">
        <v>42</v>
      </c>
      <c r="E220" s="70" t="s">
        <v>24</v>
      </c>
      <c r="F220" s="70" t="s">
        <v>20</v>
      </c>
      <c r="G220" s="71">
        <v>45145</v>
      </c>
      <c r="H220" s="63">
        <v>172</v>
      </c>
      <c r="I220" s="63">
        <v>242.2</v>
      </c>
      <c r="J220" s="72">
        <v>196.38</v>
      </c>
    </row>
    <row r="221" spans="1:10" ht="32.25" thickBot="1">
      <c r="A221" s="70" t="s">
        <v>248</v>
      </c>
      <c r="B221" s="70" t="s">
        <v>11</v>
      </c>
      <c r="C221" s="70" t="s">
        <v>26</v>
      </c>
      <c r="D221" s="70" t="s">
        <v>27</v>
      </c>
      <c r="E221" s="70" t="s">
        <v>14</v>
      </c>
      <c r="F221" s="70" t="s">
        <v>15</v>
      </c>
      <c r="G221" s="71">
        <v>45146</v>
      </c>
      <c r="H221" s="63">
        <v>329</v>
      </c>
      <c r="I221" s="63">
        <v>101.31</v>
      </c>
      <c r="J221" s="72">
        <v>61.97</v>
      </c>
    </row>
    <row r="222" spans="1:10" ht="32.25" thickBot="1">
      <c r="A222" s="70" t="s">
        <v>249</v>
      </c>
      <c r="B222" s="70" t="s">
        <v>11</v>
      </c>
      <c r="C222" s="70" t="s">
        <v>31</v>
      </c>
      <c r="D222" s="70" t="s">
        <v>19</v>
      </c>
      <c r="E222" s="70" t="s">
        <v>14</v>
      </c>
      <c r="F222" s="70" t="s">
        <v>15</v>
      </c>
      <c r="G222" s="71">
        <v>45147</v>
      </c>
      <c r="H222" s="63">
        <v>290</v>
      </c>
      <c r="I222" s="63">
        <v>87.33</v>
      </c>
      <c r="J222" s="72">
        <v>138.27000000000001</v>
      </c>
    </row>
    <row r="223" spans="1:10" ht="32.25" thickBot="1">
      <c r="A223" s="70" t="s">
        <v>250</v>
      </c>
      <c r="B223" s="70"/>
      <c r="C223" s="70" t="s">
        <v>12</v>
      </c>
      <c r="D223" s="70" t="s">
        <v>42</v>
      </c>
      <c r="E223" s="70" t="s">
        <v>14</v>
      </c>
      <c r="F223" s="70" t="s">
        <v>28</v>
      </c>
      <c r="G223" s="71">
        <v>45148</v>
      </c>
      <c r="H223" s="63">
        <v>289</v>
      </c>
      <c r="I223" s="63">
        <v>310.58999999999997</v>
      </c>
      <c r="J223" s="72">
        <v>166.54</v>
      </c>
    </row>
    <row r="224" spans="1:10" ht="32.25" thickBot="1">
      <c r="A224" s="70" t="s">
        <v>251</v>
      </c>
      <c r="B224" s="70" t="s">
        <v>48</v>
      </c>
      <c r="C224" s="70" t="s">
        <v>18</v>
      </c>
      <c r="D224" s="70" t="s">
        <v>42</v>
      </c>
      <c r="E224" s="70" t="s">
        <v>14</v>
      </c>
      <c r="F224" s="70" t="s">
        <v>15</v>
      </c>
      <c r="G224" s="71">
        <v>45149</v>
      </c>
      <c r="H224" s="63">
        <v>21</v>
      </c>
      <c r="I224" s="63">
        <v>263.93</v>
      </c>
      <c r="J224" s="72">
        <v>303.76</v>
      </c>
    </row>
    <row r="225" spans="1:10" ht="32.25" thickBot="1">
      <c r="A225" s="70" t="s">
        <v>252</v>
      </c>
      <c r="B225" s="70" t="s">
        <v>17</v>
      </c>
      <c r="C225" s="70" t="s">
        <v>18</v>
      </c>
      <c r="D225" s="70" t="s">
        <v>23</v>
      </c>
      <c r="E225" s="70" t="s">
        <v>14</v>
      </c>
      <c r="F225" s="70" t="s">
        <v>15</v>
      </c>
      <c r="G225" s="71">
        <v>45150</v>
      </c>
      <c r="H225" s="63">
        <v>283</v>
      </c>
      <c r="I225" s="63">
        <v>336.7</v>
      </c>
      <c r="J225" s="72">
        <v>297.88</v>
      </c>
    </row>
    <row r="226" spans="1:10" ht="32.25" thickBot="1">
      <c r="A226" s="70" t="s">
        <v>253</v>
      </c>
      <c r="B226" s="70" t="s">
        <v>48</v>
      </c>
      <c r="C226" s="70" t="s">
        <v>50</v>
      </c>
      <c r="D226" s="70" t="s">
        <v>13</v>
      </c>
      <c r="E226" s="70" t="s">
        <v>24</v>
      </c>
      <c r="F226" s="70" t="s">
        <v>28</v>
      </c>
      <c r="G226" s="71">
        <v>45151</v>
      </c>
      <c r="H226" s="63">
        <v>280</v>
      </c>
      <c r="I226" s="63">
        <v>465.15</v>
      </c>
      <c r="J226" s="72">
        <v>245.55</v>
      </c>
    </row>
    <row r="227" spans="1:10" ht="32.25" thickBot="1">
      <c r="A227" s="70" t="s">
        <v>254</v>
      </c>
      <c r="B227" s="70" t="s">
        <v>48</v>
      </c>
      <c r="C227" s="70" t="s">
        <v>31</v>
      </c>
      <c r="D227" s="70" t="s">
        <v>19</v>
      </c>
      <c r="E227" s="70" t="s">
        <v>24</v>
      </c>
      <c r="F227" s="70" t="s">
        <v>15</v>
      </c>
      <c r="G227" s="71">
        <v>45152</v>
      </c>
      <c r="H227" s="63">
        <v>217</v>
      </c>
      <c r="I227" s="63">
        <v>268.47000000000003</v>
      </c>
      <c r="J227" s="72">
        <v>44.16</v>
      </c>
    </row>
    <row r="228" spans="1:10" ht="32.25" thickBot="1">
      <c r="A228" s="70" t="s">
        <v>255</v>
      </c>
      <c r="B228" s="70" t="s">
        <v>22</v>
      </c>
      <c r="C228" s="70" t="s">
        <v>31</v>
      </c>
      <c r="D228" s="70" t="s">
        <v>27</v>
      </c>
      <c r="E228" s="70" t="s">
        <v>24</v>
      </c>
      <c r="F228" s="70" t="s">
        <v>15</v>
      </c>
      <c r="G228" s="71">
        <v>45153</v>
      </c>
      <c r="H228" s="63">
        <v>36</v>
      </c>
      <c r="I228" s="63">
        <v>292.56</v>
      </c>
      <c r="J228" s="72">
        <v>62.32</v>
      </c>
    </row>
    <row r="229" spans="1:10" ht="32.25" thickBot="1">
      <c r="A229" s="70" t="s">
        <v>256</v>
      </c>
      <c r="B229" s="70" t="s">
        <v>48</v>
      </c>
      <c r="C229" s="70" t="s">
        <v>50</v>
      </c>
      <c r="D229" s="70" t="s">
        <v>19</v>
      </c>
      <c r="E229" s="70" t="s">
        <v>24</v>
      </c>
      <c r="F229" s="70" t="s">
        <v>28</v>
      </c>
      <c r="G229" s="71">
        <v>45154</v>
      </c>
      <c r="H229" s="63">
        <v>248.5</v>
      </c>
      <c r="I229" s="63">
        <v>49.37</v>
      </c>
      <c r="J229" s="72">
        <v>39.32</v>
      </c>
    </row>
    <row r="230" spans="1:10" ht="32.25" thickBot="1">
      <c r="A230" s="70" t="s">
        <v>257</v>
      </c>
      <c r="B230" s="70" t="s">
        <v>22</v>
      </c>
      <c r="C230" s="70" t="s">
        <v>12</v>
      </c>
      <c r="D230" s="70" t="s">
        <v>27</v>
      </c>
      <c r="E230" s="70" t="s">
        <v>14</v>
      </c>
      <c r="F230" s="70" t="s">
        <v>28</v>
      </c>
      <c r="G230" s="71">
        <v>45155</v>
      </c>
      <c r="H230" s="63">
        <v>69</v>
      </c>
      <c r="I230" s="63">
        <v>360.23</v>
      </c>
      <c r="J230" s="72">
        <v>231.71</v>
      </c>
    </row>
    <row r="231" spans="1:10" ht="32.25" thickBot="1">
      <c r="A231" s="70" t="s">
        <v>258</v>
      </c>
      <c r="B231" s="70" t="s">
        <v>22</v>
      </c>
      <c r="C231" s="70" t="s">
        <v>31</v>
      </c>
      <c r="D231" s="70" t="s">
        <v>13</v>
      </c>
      <c r="E231" s="70" t="s">
        <v>14</v>
      </c>
      <c r="F231" s="70" t="s">
        <v>28</v>
      </c>
      <c r="G231" s="71">
        <v>45156</v>
      </c>
      <c r="H231" s="63">
        <v>439</v>
      </c>
      <c r="I231" s="63">
        <v>202.95</v>
      </c>
      <c r="J231" s="72">
        <v>351.1</v>
      </c>
    </row>
    <row r="232" spans="1:10" ht="32.25" thickBot="1">
      <c r="A232" s="70" t="s">
        <v>259</v>
      </c>
      <c r="B232" s="70" t="s">
        <v>48</v>
      </c>
      <c r="C232" s="70" t="s">
        <v>18</v>
      </c>
      <c r="D232" s="70" t="s">
        <v>27</v>
      </c>
      <c r="E232" s="70" t="s">
        <v>14</v>
      </c>
      <c r="F232" s="70" t="s">
        <v>20</v>
      </c>
      <c r="G232" s="71">
        <v>45157</v>
      </c>
      <c r="H232" s="63">
        <v>482</v>
      </c>
      <c r="I232" s="63">
        <v>488.48</v>
      </c>
      <c r="J232" s="72">
        <v>174.65</v>
      </c>
    </row>
    <row r="233" spans="1:10" ht="32.25" thickBot="1">
      <c r="A233" s="70" t="s">
        <v>260</v>
      </c>
      <c r="B233" s="70" t="s">
        <v>17</v>
      </c>
      <c r="C233" s="70" t="s">
        <v>18</v>
      </c>
      <c r="D233" s="70" t="s">
        <v>23</v>
      </c>
      <c r="E233" s="70" t="s">
        <v>14</v>
      </c>
      <c r="F233" s="70" t="s">
        <v>20</v>
      </c>
      <c r="G233" s="71">
        <v>45158</v>
      </c>
      <c r="H233" s="63">
        <v>154</v>
      </c>
      <c r="I233" s="63">
        <v>412.47</v>
      </c>
      <c r="J233" s="72">
        <v>66.02</v>
      </c>
    </row>
    <row r="234" spans="1:10" ht="32.25" thickBot="1">
      <c r="A234" s="70" t="s">
        <v>261</v>
      </c>
      <c r="B234" s="70" t="s">
        <v>17</v>
      </c>
      <c r="C234" s="70" t="s">
        <v>26</v>
      </c>
      <c r="D234" s="70" t="s">
        <v>23</v>
      </c>
      <c r="E234" s="70" t="s">
        <v>24</v>
      </c>
      <c r="F234" s="70" t="s">
        <v>28</v>
      </c>
      <c r="G234" s="71">
        <v>45159</v>
      </c>
      <c r="H234" s="63">
        <v>102</v>
      </c>
      <c r="I234" s="63">
        <v>263.63</v>
      </c>
      <c r="J234" s="72">
        <v>224.1</v>
      </c>
    </row>
    <row r="235" spans="1:10" ht="32.25" thickBot="1">
      <c r="A235" s="70" t="s">
        <v>262</v>
      </c>
      <c r="B235" s="70" t="s">
        <v>17</v>
      </c>
      <c r="C235" s="70" t="s">
        <v>31</v>
      </c>
      <c r="D235" s="70" t="s">
        <v>23</v>
      </c>
      <c r="E235" s="70" t="s">
        <v>14</v>
      </c>
      <c r="F235" s="70" t="s">
        <v>28</v>
      </c>
      <c r="G235" s="71">
        <v>45160</v>
      </c>
      <c r="H235" s="63">
        <v>318</v>
      </c>
      <c r="I235" s="63">
        <v>66</v>
      </c>
      <c r="J235" s="72">
        <v>325.08</v>
      </c>
    </row>
    <row r="236" spans="1:10" ht="32.25" thickBot="1">
      <c r="A236" s="70" t="s">
        <v>263</v>
      </c>
      <c r="B236" s="70" t="s">
        <v>17</v>
      </c>
      <c r="C236" s="70" t="s">
        <v>12</v>
      </c>
      <c r="D236" s="70" t="s">
        <v>23</v>
      </c>
      <c r="E236" s="70" t="s">
        <v>14</v>
      </c>
      <c r="F236" s="70" t="s">
        <v>28</v>
      </c>
      <c r="G236" s="71">
        <v>45161</v>
      </c>
      <c r="H236" s="63">
        <v>17</v>
      </c>
      <c r="I236" s="63">
        <v>430.41</v>
      </c>
      <c r="J236" s="72">
        <v>297.2</v>
      </c>
    </row>
    <row r="237" spans="1:10" ht="32.25" thickBot="1">
      <c r="A237" s="70" t="s">
        <v>264</v>
      </c>
      <c r="B237" s="70" t="s">
        <v>17</v>
      </c>
      <c r="C237" s="70" t="s">
        <v>50</v>
      </c>
      <c r="D237" s="70" t="s">
        <v>19</v>
      </c>
      <c r="E237" s="70" t="s">
        <v>24</v>
      </c>
      <c r="F237" s="70" t="s">
        <v>20</v>
      </c>
      <c r="G237" s="71">
        <v>45162</v>
      </c>
      <c r="H237" s="63">
        <v>88</v>
      </c>
      <c r="I237" s="63">
        <v>400.89</v>
      </c>
      <c r="J237" s="72">
        <v>352.82</v>
      </c>
    </row>
    <row r="238" spans="1:10" ht="32.25" thickBot="1">
      <c r="A238" s="70" t="s">
        <v>265</v>
      </c>
      <c r="B238" s="70" t="s">
        <v>48</v>
      </c>
      <c r="C238" s="70" t="s">
        <v>50</v>
      </c>
      <c r="D238" s="70" t="s">
        <v>13</v>
      </c>
      <c r="E238" s="70" t="s">
        <v>24</v>
      </c>
      <c r="F238" s="70" t="s">
        <v>20</v>
      </c>
      <c r="G238" s="71">
        <v>45163</v>
      </c>
      <c r="H238" s="63">
        <v>36</v>
      </c>
      <c r="I238" s="63">
        <v>96.37</v>
      </c>
      <c r="J238" s="72">
        <v>112.61</v>
      </c>
    </row>
    <row r="239" spans="1:10" ht="32.25" thickBot="1">
      <c r="A239" s="70" t="s">
        <v>266</v>
      </c>
      <c r="B239" s="70" t="s">
        <v>48</v>
      </c>
      <c r="C239" s="70" t="s">
        <v>12</v>
      </c>
      <c r="D239" s="70" t="s">
        <v>27</v>
      </c>
      <c r="E239" s="70" t="s">
        <v>24</v>
      </c>
      <c r="F239" s="70" t="s">
        <v>15</v>
      </c>
      <c r="G239" s="71">
        <v>45164</v>
      </c>
      <c r="H239" s="63">
        <v>183</v>
      </c>
      <c r="I239" s="63">
        <v>151.16</v>
      </c>
      <c r="J239" s="72">
        <v>79.19</v>
      </c>
    </row>
    <row r="240" spans="1:10" ht="32.25" thickBot="1">
      <c r="A240" s="70" t="s">
        <v>267</v>
      </c>
      <c r="B240" s="70" t="s">
        <v>11</v>
      </c>
      <c r="C240" s="70" t="s">
        <v>26</v>
      </c>
      <c r="D240" s="70" t="s">
        <v>27</v>
      </c>
      <c r="E240" s="70" t="s">
        <v>24</v>
      </c>
      <c r="F240" s="70" t="s">
        <v>15</v>
      </c>
      <c r="G240" s="71">
        <v>45165</v>
      </c>
      <c r="H240" s="63">
        <v>59</v>
      </c>
      <c r="I240" s="63">
        <v>397.74</v>
      </c>
      <c r="J240" s="72">
        <v>352.17</v>
      </c>
    </row>
    <row r="241" spans="1:10" ht="32.25" thickBot="1">
      <c r="A241" s="70" t="s">
        <v>268</v>
      </c>
      <c r="B241" s="70" t="s">
        <v>17</v>
      </c>
      <c r="C241" s="70" t="s">
        <v>50</v>
      </c>
      <c r="D241" s="70" t="s">
        <v>23</v>
      </c>
      <c r="E241" s="70" t="s">
        <v>14</v>
      </c>
      <c r="F241" s="70" t="s">
        <v>28</v>
      </c>
      <c r="G241" s="71">
        <v>45166</v>
      </c>
      <c r="H241" s="63">
        <v>208</v>
      </c>
      <c r="I241" s="63">
        <v>96.69</v>
      </c>
      <c r="J241" s="72">
        <v>263.70999999999998</v>
      </c>
    </row>
    <row r="242" spans="1:10" ht="32.25" thickBot="1">
      <c r="A242" s="70" t="s">
        <v>269</v>
      </c>
      <c r="B242" s="70" t="s">
        <v>48</v>
      </c>
      <c r="C242" s="70" t="s">
        <v>31</v>
      </c>
      <c r="D242" s="70" t="s">
        <v>23</v>
      </c>
      <c r="E242" s="70" t="s">
        <v>14</v>
      </c>
      <c r="F242" s="70" t="s">
        <v>20</v>
      </c>
      <c r="G242" s="71">
        <v>45167</v>
      </c>
      <c r="H242" s="63">
        <v>396</v>
      </c>
      <c r="I242" s="63">
        <v>459.29</v>
      </c>
      <c r="J242" s="72">
        <v>125.75</v>
      </c>
    </row>
    <row r="243" spans="1:10" ht="32.25" thickBot="1">
      <c r="A243" s="70" t="s">
        <v>270</v>
      </c>
      <c r="B243" s="70" t="s">
        <v>11</v>
      </c>
      <c r="C243" s="70" t="s">
        <v>26</v>
      </c>
      <c r="D243" s="70" t="s">
        <v>42</v>
      </c>
      <c r="E243" s="70" t="s">
        <v>24</v>
      </c>
      <c r="F243" s="70" t="s">
        <v>20</v>
      </c>
      <c r="G243" s="71">
        <v>45168</v>
      </c>
      <c r="H243" s="63">
        <v>358</v>
      </c>
      <c r="I243" s="63">
        <v>215.14</v>
      </c>
      <c r="J243" s="72">
        <v>297.45</v>
      </c>
    </row>
    <row r="244" spans="1:10" ht="32.25" thickBot="1">
      <c r="A244" s="70" t="s">
        <v>271</v>
      </c>
      <c r="B244" s="70" t="s">
        <v>17</v>
      </c>
      <c r="C244" s="70" t="s">
        <v>31</v>
      </c>
      <c r="D244" s="70" t="s">
        <v>13</v>
      </c>
      <c r="E244" s="70" t="s">
        <v>14</v>
      </c>
      <c r="F244" s="70" t="s">
        <v>20</v>
      </c>
      <c r="G244" s="71">
        <v>45169</v>
      </c>
      <c r="H244" s="63">
        <v>457</v>
      </c>
      <c r="I244" s="63">
        <v>48.08</v>
      </c>
      <c r="J244" s="72">
        <v>326.42</v>
      </c>
    </row>
    <row r="245" spans="1:10" ht="32.25" thickBot="1">
      <c r="A245" s="70" t="s">
        <v>272</v>
      </c>
      <c r="B245" s="70" t="s">
        <v>22</v>
      </c>
      <c r="C245" s="70" t="s">
        <v>18</v>
      </c>
      <c r="D245" s="70" t="s">
        <v>19</v>
      </c>
      <c r="E245" s="70" t="s">
        <v>14</v>
      </c>
      <c r="F245" s="70" t="s">
        <v>28</v>
      </c>
      <c r="G245" s="71">
        <v>45170</v>
      </c>
      <c r="H245" s="63">
        <v>437</v>
      </c>
      <c r="I245" s="63">
        <v>408.8</v>
      </c>
      <c r="J245" s="72">
        <v>246.76</v>
      </c>
    </row>
    <row r="246" spans="1:10" ht="32.25" thickBot="1">
      <c r="A246" s="70" t="s">
        <v>273</v>
      </c>
      <c r="B246" s="70" t="s">
        <v>11</v>
      </c>
      <c r="C246" s="70" t="s">
        <v>26</v>
      </c>
      <c r="D246" s="70" t="s">
        <v>27</v>
      </c>
      <c r="E246" s="70" t="s">
        <v>14</v>
      </c>
      <c r="F246" s="70" t="s">
        <v>15</v>
      </c>
      <c r="G246" s="71">
        <v>45171</v>
      </c>
      <c r="H246" s="63">
        <v>190</v>
      </c>
      <c r="I246" s="63">
        <v>189.89</v>
      </c>
      <c r="J246" s="72">
        <v>275.77999999999997</v>
      </c>
    </row>
    <row r="247" spans="1:10" ht="32.25" thickBot="1">
      <c r="A247" s="70" t="s">
        <v>274</v>
      </c>
      <c r="B247" s="70" t="s">
        <v>48</v>
      </c>
      <c r="C247" s="70" t="s">
        <v>50</v>
      </c>
      <c r="D247" s="70" t="s">
        <v>42</v>
      </c>
      <c r="E247" s="70" t="s">
        <v>24</v>
      </c>
      <c r="F247" s="70" t="s">
        <v>28</v>
      </c>
      <c r="G247" s="71">
        <v>45172</v>
      </c>
      <c r="H247" s="63">
        <v>33</v>
      </c>
      <c r="I247" s="63">
        <v>265.62</v>
      </c>
      <c r="J247" s="72">
        <v>151.35</v>
      </c>
    </row>
    <row r="248" spans="1:10" ht="32.25" thickBot="1">
      <c r="A248" s="70" t="s">
        <v>275</v>
      </c>
      <c r="B248" s="70" t="s">
        <v>22</v>
      </c>
      <c r="C248" s="70" t="s">
        <v>26</v>
      </c>
      <c r="D248" s="70" t="s">
        <v>42</v>
      </c>
      <c r="E248" s="70" t="s">
        <v>14</v>
      </c>
      <c r="F248" s="70" t="s">
        <v>15</v>
      </c>
      <c r="G248" s="71">
        <v>45173</v>
      </c>
      <c r="H248" s="63">
        <v>325</v>
      </c>
      <c r="I248" s="63">
        <v>60.59</v>
      </c>
      <c r="J248" s="72">
        <v>216.4</v>
      </c>
    </row>
    <row r="249" spans="1:10" ht="32.25" thickBot="1">
      <c r="A249" s="70" t="s">
        <v>276</v>
      </c>
      <c r="B249" s="70" t="s">
        <v>22</v>
      </c>
      <c r="C249" s="70" t="s">
        <v>26</v>
      </c>
      <c r="D249" s="70" t="s">
        <v>27</v>
      </c>
      <c r="E249" s="70" t="s">
        <v>24</v>
      </c>
      <c r="F249" s="70" t="s">
        <v>15</v>
      </c>
      <c r="G249" s="71">
        <v>45174</v>
      </c>
      <c r="H249" s="63">
        <v>387</v>
      </c>
      <c r="I249" s="63">
        <v>6.28</v>
      </c>
      <c r="J249" s="72">
        <v>210.62</v>
      </c>
    </row>
    <row r="250" spans="1:10" ht="32.25" thickBot="1">
      <c r="A250" s="70" t="s">
        <v>277</v>
      </c>
      <c r="B250" s="70" t="s">
        <v>22</v>
      </c>
      <c r="C250" s="70" t="s">
        <v>26</v>
      </c>
      <c r="D250" s="70" t="s">
        <v>19</v>
      </c>
      <c r="E250" s="70" t="s">
        <v>14</v>
      </c>
      <c r="F250" s="70" t="s">
        <v>28</v>
      </c>
      <c r="G250" s="71">
        <v>45175</v>
      </c>
      <c r="H250" s="63">
        <v>396</v>
      </c>
      <c r="I250" s="63">
        <v>320.8</v>
      </c>
      <c r="J250" s="72">
        <v>339.52</v>
      </c>
    </row>
    <row r="251" spans="1:10" ht="32.25" thickBot="1">
      <c r="A251" s="70" t="s">
        <v>278</v>
      </c>
      <c r="B251" s="70" t="s">
        <v>11</v>
      </c>
      <c r="C251" s="70" t="s">
        <v>26</v>
      </c>
      <c r="D251" s="70" t="s">
        <v>42</v>
      </c>
      <c r="E251" s="70" t="s">
        <v>14</v>
      </c>
      <c r="F251" s="70" t="s">
        <v>15</v>
      </c>
      <c r="G251" s="71">
        <v>45176</v>
      </c>
      <c r="H251" s="63">
        <v>413</v>
      </c>
      <c r="I251" s="63">
        <v>260.01</v>
      </c>
      <c r="J251" s="72">
        <v>336.31</v>
      </c>
    </row>
    <row r="252" spans="1:10" ht="32.25" thickBot="1">
      <c r="A252" s="70" t="s">
        <v>279</v>
      </c>
      <c r="B252" s="70" t="s">
        <v>48</v>
      </c>
      <c r="C252" s="70" t="s">
        <v>31</v>
      </c>
      <c r="D252" s="70" t="s">
        <v>42</v>
      </c>
      <c r="E252" s="70" t="s">
        <v>14</v>
      </c>
      <c r="F252" s="70" t="s">
        <v>15</v>
      </c>
      <c r="G252" s="71">
        <v>45177</v>
      </c>
      <c r="H252" s="63">
        <v>248.5</v>
      </c>
      <c r="I252" s="63">
        <v>298.8</v>
      </c>
      <c r="J252" s="72">
        <v>333.41</v>
      </c>
    </row>
    <row r="253" spans="1:10" ht="32.25" thickBot="1">
      <c r="A253" s="70" t="s">
        <v>280</v>
      </c>
      <c r="B253" s="70" t="s">
        <v>22</v>
      </c>
      <c r="C253" s="70" t="s">
        <v>18</v>
      </c>
      <c r="D253" s="70" t="s">
        <v>13</v>
      </c>
      <c r="E253" s="70" t="s">
        <v>24</v>
      </c>
      <c r="F253" s="70" t="s">
        <v>20</v>
      </c>
      <c r="G253" s="71">
        <v>45178</v>
      </c>
      <c r="H253" s="63">
        <v>24</v>
      </c>
      <c r="I253" s="63">
        <v>397.9</v>
      </c>
      <c r="J253" s="72">
        <v>6.39</v>
      </c>
    </row>
    <row r="254" spans="1:10" ht="32.25" thickBot="1">
      <c r="A254" s="70" t="s">
        <v>281</v>
      </c>
      <c r="B254" s="70" t="s">
        <v>17</v>
      </c>
      <c r="C254" s="70" t="s">
        <v>12</v>
      </c>
      <c r="D254" s="70"/>
      <c r="E254" s="70" t="s">
        <v>14</v>
      </c>
      <c r="F254" s="70" t="s">
        <v>15</v>
      </c>
      <c r="G254" s="71">
        <v>45179</v>
      </c>
      <c r="H254" s="63">
        <v>162</v>
      </c>
      <c r="I254" s="63">
        <v>325.07</v>
      </c>
      <c r="J254" s="72">
        <v>300.32</v>
      </c>
    </row>
    <row r="255" spans="1:10" ht="32.25" thickBot="1">
      <c r="A255" s="70" t="s">
        <v>282</v>
      </c>
      <c r="B255" s="70" t="s">
        <v>22</v>
      </c>
      <c r="C255" s="70" t="s">
        <v>26</v>
      </c>
      <c r="D255" s="70" t="s">
        <v>42</v>
      </c>
      <c r="E255" s="70" t="s">
        <v>24</v>
      </c>
      <c r="F255" s="70" t="s">
        <v>28</v>
      </c>
      <c r="G255" s="71">
        <v>45180</v>
      </c>
      <c r="H255" s="63">
        <v>231</v>
      </c>
      <c r="I255" s="63">
        <v>91.51</v>
      </c>
      <c r="J255" s="72">
        <v>303.95</v>
      </c>
    </row>
    <row r="256" spans="1:10" ht="32.25" thickBot="1">
      <c r="A256" s="70" t="s">
        <v>283</v>
      </c>
      <c r="B256" s="70" t="s">
        <v>22</v>
      </c>
      <c r="C256" s="70" t="s">
        <v>50</v>
      </c>
      <c r="D256" s="70" t="s">
        <v>19</v>
      </c>
      <c r="E256" s="70" t="s">
        <v>24</v>
      </c>
      <c r="F256" s="70" t="s">
        <v>28</v>
      </c>
      <c r="G256" s="71">
        <v>45181</v>
      </c>
      <c r="H256" s="63">
        <v>215</v>
      </c>
      <c r="I256" s="63">
        <v>183.58</v>
      </c>
      <c r="J256" s="72">
        <v>271.99</v>
      </c>
    </row>
    <row r="257" spans="1:10" ht="32.25" thickBot="1">
      <c r="A257" s="70" t="s">
        <v>284</v>
      </c>
      <c r="B257" s="70" t="s">
        <v>11</v>
      </c>
      <c r="C257" s="70" t="s">
        <v>26</v>
      </c>
      <c r="D257" s="70" t="s">
        <v>27</v>
      </c>
      <c r="E257" s="70" t="s">
        <v>24</v>
      </c>
      <c r="F257" s="70" t="s">
        <v>15</v>
      </c>
      <c r="G257" s="71">
        <v>45182</v>
      </c>
      <c r="H257" s="63">
        <v>464</v>
      </c>
      <c r="I257" s="63">
        <v>453.42</v>
      </c>
      <c r="J257" s="72">
        <v>302.99</v>
      </c>
    </row>
    <row r="258" spans="1:10" ht="32.25" thickBot="1">
      <c r="A258" s="70" t="s">
        <v>285</v>
      </c>
      <c r="B258" s="70" t="s">
        <v>11</v>
      </c>
      <c r="C258" s="70" t="s">
        <v>50</v>
      </c>
      <c r="D258" s="70" t="s">
        <v>23</v>
      </c>
      <c r="E258" s="70" t="s">
        <v>14</v>
      </c>
      <c r="F258" s="70" t="s">
        <v>20</v>
      </c>
      <c r="G258" s="71">
        <v>45183</v>
      </c>
      <c r="H258" s="63">
        <v>282</v>
      </c>
      <c r="I258" s="63">
        <v>255.39500000000001</v>
      </c>
      <c r="J258" s="72">
        <v>337.1</v>
      </c>
    </row>
    <row r="259" spans="1:10" ht="32.25" thickBot="1">
      <c r="A259" s="70" t="s">
        <v>286</v>
      </c>
      <c r="B259" s="70" t="s">
        <v>48</v>
      </c>
      <c r="C259" s="70" t="s">
        <v>31</v>
      </c>
      <c r="D259" s="70" t="s">
        <v>42</v>
      </c>
      <c r="E259" s="70" t="s">
        <v>14</v>
      </c>
      <c r="F259" s="70" t="s">
        <v>20</v>
      </c>
      <c r="G259" s="71">
        <v>45184</v>
      </c>
      <c r="H259" s="63">
        <v>391</v>
      </c>
      <c r="I259" s="63">
        <v>280.54000000000002</v>
      </c>
      <c r="J259" s="72">
        <v>189.19</v>
      </c>
    </row>
    <row r="260" spans="1:10" ht="32.25" thickBot="1">
      <c r="A260" s="70" t="s">
        <v>287</v>
      </c>
      <c r="B260" s="70" t="s">
        <v>17</v>
      </c>
      <c r="C260" s="70" t="s">
        <v>50</v>
      </c>
      <c r="D260" s="70" t="s">
        <v>13</v>
      </c>
      <c r="E260" s="70" t="s">
        <v>14</v>
      </c>
      <c r="F260" s="70" t="s">
        <v>15</v>
      </c>
      <c r="G260" s="71">
        <v>45185</v>
      </c>
      <c r="H260" s="63">
        <v>245</v>
      </c>
      <c r="I260" s="63">
        <v>131.54</v>
      </c>
      <c r="J260" s="72">
        <v>201.82</v>
      </c>
    </row>
    <row r="261" spans="1:10" ht="32.25" thickBot="1">
      <c r="A261" s="70" t="s">
        <v>288</v>
      </c>
      <c r="B261" s="70" t="s">
        <v>11</v>
      </c>
      <c r="C261" s="70" t="s">
        <v>12</v>
      </c>
      <c r="D261" s="70" t="s">
        <v>27</v>
      </c>
      <c r="E261" s="70" t="s">
        <v>14</v>
      </c>
      <c r="F261" s="70" t="s">
        <v>15</v>
      </c>
      <c r="G261" s="71">
        <v>45186</v>
      </c>
      <c r="H261" s="63">
        <v>349</v>
      </c>
      <c r="I261" s="63">
        <v>154.52000000000001</v>
      </c>
      <c r="J261" s="72">
        <v>51.64</v>
      </c>
    </row>
    <row r="262" spans="1:10" ht="32.25" thickBot="1">
      <c r="A262" s="70" t="s">
        <v>289</v>
      </c>
      <c r="B262" s="70" t="s">
        <v>22</v>
      </c>
      <c r="C262" s="70" t="s">
        <v>18</v>
      </c>
      <c r="D262" s="70" t="s">
        <v>19</v>
      </c>
      <c r="E262" s="70" t="s">
        <v>24</v>
      </c>
      <c r="F262" s="70" t="s">
        <v>28</v>
      </c>
      <c r="G262" s="71">
        <v>45187</v>
      </c>
      <c r="H262" s="63">
        <v>237</v>
      </c>
      <c r="I262" s="63">
        <v>255.39500000000001</v>
      </c>
      <c r="J262" s="72">
        <v>155.38</v>
      </c>
    </row>
    <row r="263" spans="1:10" ht="32.25" thickBot="1">
      <c r="A263" s="70" t="s">
        <v>290</v>
      </c>
      <c r="B263" s="70" t="s">
        <v>48</v>
      </c>
      <c r="C263" s="70" t="s">
        <v>50</v>
      </c>
      <c r="D263" s="70" t="s">
        <v>27</v>
      </c>
      <c r="E263" s="70" t="s">
        <v>24</v>
      </c>
      <c r="F263" s="70" t="s">
        <v>15</v>
      </c>
      <c r="G263" s="71">
        <v>45188</v>
      </c>
      <c r="H263" s="63">
        <v>18</v>
      </c>
      <c r="I263" s="63">
        <v>426.33</v>
      </c>
      <c r="J263" s="72">
        <v>258.06</v>
      </c>
    </row>
    <row r="264" spans="1:10" ht="32.25" thickBot="1">
      <c r="A264" s="70" t="s">
        <v>291</v>
      </c>
      <c r="B264" s="70" t="s">
        <v>22</v>
      </c>
      <c r="C264" s="70" t="s">
        <v>50</v>
      </c>
      <c r="D264" s="70" t="s">
        <v>42</v>
      </c>
      <c r="E264" s="70" t="s">
        <v>24</v>
      </c>
      <c r="F264" s="70" t="s">
        <v>20</v>
      </c>
      <c r="G264" s="71">
        <v>45189</v>
      </c>
      <c r="H264" s="63">
        <v>175</v>
      </c>
      <c r="I264" s="63">
        <v>337.36</v>
      </c>
      <c r="J264" s="72">
        <v>312.60000000000002</v>
      </c>
    </row>
    <row r="265" spans="1:10" ht="32.25" thickBot="1">
      <c r="A265" s="70" t="s">
        <v>292</v>
      </c>
      <c r="B265" s="70" t="s">
        <v>22</v>
      </c>
      <c r="C265" s="70" t="s">
        <v>18</v>
      </c>
      <c r="D265" s="70"/>
      <c r="E265" s="70" t="s">
        <v>14</v>
      </c>
      <c r="F265" s="70" t="s">
        <v>15</v>
      </c>
      <c r="G265" s="71">
        <v>45190</v>
      </c>
      <c r="H265" s="63">
        <v>441</v>
      </c>
      <c r="I265" s="63">
        <v>405.72</v>
      </c>
      <c r="J265" s="72">
        <v>88.45</v>
      </c>
    </row>
    <row r="266" spans="1:10" ht="32.25" thickBot="1">
      <c r="A266" s="70" t="s">
        <v>293</v>
      </c>
      <c r="B266" s="70" t="s">
        <v>11</v>
      </c>
      <c r="C266" s="70" t="s">
        <v>12</v>
      </c>
      <c r="D266" s="70" t="s">
        <v>23</v>
      </c>
      <c r="E266" s="70" t="s">
        <v>24</v>
      </c>
      <c r="F266" s="70" t="s">
        <v>28</v>
      </c>
      <c r="G266" s="71">
        <v>45191</v>
      </c>
      <c r="H266" s="63">
        <v>453</v>
      </c>
      <c r="I266" s="63">
        <v>384.49</v>
      </c>
      <c r="J266" s="72">
        <v>56.85</v>
      </c>
    </row>
    <row r="267" spans="1:10" ht="32.25" thickBot="1">
      <c r="A267" s="70" t="s">
        <v>294</v>
      </c>
      <c r="B267" s="70" t="s">
        <v>48</v>
      </c>
      <c r="C267" s="70" t="s">
        <v>26</v>
      </c>
      <c r="D267" s="70" t="s">
        <v>27</v>
      </c>
      <c r="E267" s="70" t="s">
        <v>14</v>
      </c>
      <c r="F267" s="70" t="s">
        <v>28</v>
      </c>
      <c r="G267" s="71">
        <v>45192</v>
      </c>
      <c r="H267" s="63">
        <v>328</v>
      </c>
      <c r="I267" s="63">
        <v>79.099999999999994</v>
      </c>
      <c r="J267" s="72">
        <v>265.89</v>
      </c>
    </row>
    <row r="268" spans="1:10" ht="32.25" thickBot="1">
      <c r="A268" s="70" t="s">
        <v>295</v>
      </c>
      <c r="B268" s="70" t="s">
        <v>17</v>
      </c>
      <c r="C268" s="70" t="s">
        <v>50</v>
      </c>
      <c r="D268" s="70" t="s">
        <v>42</v>
      </c>
      <c r="E268" s="70" t="s">
        <v>24</v>
      </c>
      <c r="F268" s="70" t="s">
        <v>28</v>
      </c>
      <c r="G268" s="71">
        <v>45193</v>
      </c>
      <c r="H268" s="63">
        <v>223</v>
      </c>
      <c r="I268" s="63">
        <v>214.85</v>
      </c>
      <c r="J268" s="72">
        <v>2.75</v>
      </c>
    </row>
    <row r="269" spans="1:10" ht="32.25" thickBot="1">
      <c r="A269" s="70" t="s">
        <v>296</v>
      </c>
      <c r="B269" s="70" t="s">
        <v>17</v>
      </c>
      <c r="C269" s="70" t="s">
        <v>18</v>
      </c>
      <c r="D269" s="70" t="s">
        <v>13</v>
      </c>
      <c r="E269" s="70" t="s">
        <v>14</v>
      </c>
      <c r="F269" s="70" t="s">
        <v>28</v>
      </c>
      <c r="G269" s="71">
        <v>45194</v>
      </c>
      <c r="H269" s="63">
        <v>126</v>
      </c>
      <c r="I269" s="63">
        <v>80.73</v>
      </c>
      <c r="J269" s="72">
        <v>72.989999999999995</v>
      </c>
    </row>
    <row r="270" spans="1:10" ht="32.25" thickBot="1">
      <c r="A270" s="70" t="s">
        <v>297</v>
      </c>
      <c r="B270" s="70" t="s">
        <v>11</v>
      </c>
      <c r="C270" s="70" t="s">
        <v>31</v>
      </c>
      <c r="D270" s="70" t="s">
        <v>19</v>
      </c>
      <c r="E270" s="70" t="s">
        <v>14</v>
      </c>
      <c r="F270" s="70" t="s">
        <v>28</v>
      </c>
      <c r="G270" s="71">
        <v>45195</v>
      </c>
      <c r="H270" s="63">
        <v>395</v>
      </c>
      <c r="I270" s="63">
        <v>121.44</v>
      </c>
      <c r="J270" s="72">
        <v>13.57</v>
      </c>
    </row>
    <row r="271" spans="1:10" ht="32.25" thickBot="1">
      <c r="A271" s="70" t="s">
        <v>298</v>
      </c>
      <c r="B271" s="70" t="s">
        <v>11</v>
      </c>
      <c r="C271" s="70" t="s">
        <v>18</v>
      </c>
      <c r="D271" s="70" t="s">
        <v>27</v>
      </c>
      <c r="E271" s="70" t="s">
        <v>24</v>
      </c>
      <c r="F271" s="70" t="s">
        <v>15</v>
      </c>
      <c r="G271" s="71">
        <v>45196</v>
      </c>
      <c r="H271" s="63">
        <v>353</v>
      </c>
      <c r="I271" s="63">
        <v>435.28</v>
      </c>
      <c r="J271" s="72">
        <v>68.42</v>
      </c>
    </row>
    <row r="272" spans="1:10" ht="32.25" thickBot="1">
      <c r="A272" s="70" t="s">
        <v>299</v>
      </c>
      <c r="B272" s="70" t="s">
        <v>48</v>
      </c>
      <c r="C272" s="70" t="s">
        <v>31</v>
      </c>
      <c r="D272" s="70" t="s">
        <v>27</v>
      </c>
      <c r="E272" s="70" t="s">
        <v>24</v>
      </c>
      <c r="F272" s="70" t="s">
        <v>15</v>
      </c>
      <c r="G272" s="71">
        <v>45197</v>
      </c>
      <c r="H272" s="63">
        <v>81</v>
      </c>
      <c r="I272" s="63">
        <v>239.08</v>
      </c>
      <c r="J272" s="72">
        <v>74.17</v>
      </c>
    </row>
    <row r="273" spans="1:10" ht="32.25" thickBot="1">
      <c r="A273" s="70" t="s">
        <v>300</v>
      </c>
      <c r="B273" s="70" t="s">
        <v>17</v>
      </c>
      <c r="C273" s="70" t="s">
        <v>12</v>
      </c>
      <c r="D273" s="70" t="s">
        <v>23</v>
      </c>
      <c r="E273" s="70" t="s">
        <v>24</v>
      </c>
      <c r="F273" s="70" t="s">
        <v>15</v>
      </c>
      <c r="G273" s="71">
        <v>45198</v>
      </c>
      <c r="H273" s="63">
        <v>404</v>
      </c>
      <c r="I273" s="63">
        <v>270</v>
      </c>
      <c r="J273" s="72">
        <v>156.29</v>
      </c>
    </row>
    <row r="274" spans="1:10" ht="32.25" thickBot="1">
      <c r="A274" s="70" t="s">
        <v>301</v>
      </c>
      <c r="B274" s="70" t="s">
        <v>17</v>
      </c>
      <c r="C274" s="70" t="s">
        <v>26</v>
      </c>
      <c r="D274" s="70" t="s">
        <v>23</v>
      </c>
      <c r="E274" s="70" t="s">
        <v>24</v>
      </c>
      <c r="F274" s="70" t="s">
        <v>15</v>
      </c>
      <c r="G274" s="71">
        <v>45199</v>
      </c>
      <c r="H274" s="63">
        <v>73</v>
      </c>
      <c r="I274" s="63">
        <v>93.33</v>
      </c>
      <c r="J274" s="72">
        <v>162.13</v>
      </c>
    </row>
    <row r="275" spans="1:10" ht="32.25" thickBot="1">
      <c r="A275" s="70" t="s">
        <v>302</v>
      </c>
      <c r="B275" s="70" t="s">
        <v>17</v>
      </c>
      <c r="C275" s="70" t="s">
        <v>18</v>
      </c>
      <c r="D275" s="70" t="s">
        <v>13</v>
      </c>
      <c r="E275" s="70" t="s">
        <v>14</v>
      </c>
      <c r="F275" s="70" t="s">
        <v>28</v>
      </c>
      <c r="G275" s="71">
        <v>45200</v>
      </c>
      <c r="H275" s="63">
        <v>214</v>
      </c>
      <c r="I275" s="63">
        <v>159.57</v>
      </c>
      <c r="J275" s="72">
        <v>349.96</v>
      </c>
    </row>
    <row r="276" spans="1:10" ht="32.25" thickBot="1">
      <c r="A276" s="70" t="s">
        <v>303</v>
      </c>
      <c r="B276" s="70" t="s">
        <v>22</v>
      </c>
      <c r="C276" s="70" t="s">
        <v>50</v>
      </c>
      <c r="D276" s="70" t="s">
        <v>13</v>
      </c>
      <c r="E276" s="70" t="s">
        <v>24</v>
      </c>
      <c r="F276" s="70" t="s">
        <v>20</v>
      </c>
      <c r="G276" s="71">
        <v>45201</v>
      </c>
      <c r="H276" s="63">
        <v>218</v>
      </c>
      <c r="I276" s="63">
        <v>118.97</v>
      </c>
      <c r="J276" s="72">
        <v>205.02</v>
      </c>
    </row>
    <row r="277" spans="1:10" ht="32.25" thickBot="1">
      <c r="A277" s="70" t="s">
        <v>304</v>
      </c>
      <c r="B277" s="70" t="s">
        <v>17</v>
      </c>
      <c r="C277" s="70" t="s">
        <v>12</v>
      </c>
      <c r="D277" s="70" t="s">
        <v>42</v>
      </c>
      <c r="E277" s="70" t="s">
        <v>24</v>
      </c>
      <c r="F277" s="70" t="s">
        <v>15</v>
      </c>
      <c r="G277" s="71">
        <v>45202</v>
      </c>
      <c r="H277" s="63">
        <v>81</v>
      </c>
      <c r="I277" s="63">
        <v>107.06</v>
      </c>
      <c r="J277" s="72">
        <v>289.92</v>
      </c>
    </row>
    <row r="278" spans="1:10" ht="32.25" thickBot="1">
      <c r="A278" s="70" t="s">
        <v>305</v>
      </c>
      <c r="B278" s="70" t="s">
        <v>22</v>
      </c>
      <c r="C278" s="70" t="s">
        <v>18</v>
      </c>
      <c r="D278" s="70" t="s">
        <v>42</v>
      </c>
      <c r="E278" s="70" t="s">
        <v>24</v>
      </c>
      <c r="F278" s="70" t="s">
        <v>20</v>
      </c>
      <c r="G278" s="71">
        <v>45203</v>
      </c>
      <c r="H278" s="63">
        <v>286</v>
      </c>
      <c r="I278" s="63">
        <v>320.79000000000002</v>
      </c>
      <c r="J278" s="72">
        <v>43.45</v>
      </c>
    </row>
    <row r="279" spans="1:10" ht="32.25" thickBot="1">
      <c r="A279" s="70" t="s">
        <v>306</v>
      </c>
      <c r="B279" s="70" t="s">
        <v>48</v>
      </c>
      <c r="C279" s="70" t="s">
        <v>50</v>
      </c>
      <c r="D279" s="70" t="s">
        <v>13</v>
      </c>
      <c r="E279" s="70" t="s">
        <v>14</v>
      </c>
      <c r="F279" s="70" t="s">
        <v>15</v>
      </c>
      <c r="G279" s="71">
        <v>45204</v>
      </c>
      <c r="H279" s="63">
        <v>283</v>
      </c>
      <c r="I279" s="63">
        <v>132.16</v>
      </c>
      <c r="J279" s="72">
        <v>91.72</v>
      </c>
    </row>
    <row r="280" spans="1:10" ht="32.25" thickBot="1">
      <c r="A280" s="70" t="s">
        <v>307</v>
      </c>
      <c r="B280" s="70" t="s">
        <v>22</v>
      </c>
      <c r="C280" s="70" t="s">
        <v>18</v>
      </c>
      <c r="D280" s="70" t="s">
        <v>13</v>
      </c>
      <c r="E280" s="70" t="s">
        <v>14</v>
      </c>
      <c r="F280" s="70" t="s">
        <v>15</v>
      </c>
      <c r="G280" s="71">
        <v>45205</v>
      </c>
      <c r="H280" s="63">
        <v>487</v>
      </c>
      <c r="I280" s="63">
        <v>317.85000000000002</v>
      </c>
      <c r="J280" s="72">
        <v>281.77</v>
      </c>
    </row>
    <row r="281" spans="1:10" ht="32.25" thickBot="1">
      <c r="A281" s="70" t="s">
        <v>308</v>
      </c>
      <c r="B281" s="70" t="s">
        <v>48</v>
      </c>
      <c r="C281" s="70" t="s">
        <v>31</v>
      </c>
      <c r="D281" s="70" t="s">
        <v>19</v>
      </c>
      <c r="E281" s="70" t="s">
        <v>24</v>
      </c>
      <c r="F281" s="70" t="s">
        <v>20</v>
      </c>
      <c r="G281" s="71">
        <v>45206</v>
      </c>
      <c r="H281" s="63">
        <v>329</v>
      </c>
      <c r="I281" s="63">
        <v>33.94</v>
      </c>
      <c r="J281" s="72">
        <v>23.02</v>
      </c>
    </row>
    <row r="282" spans="1:10" ht="32.25" thickBot="1">
      <c r="A282" s="70" t="s">
        <v>309</v>
      </c>
      <c r="B282" s="70" t="s">
        <v>17</v>
      </c>
      <c r="C282" s="70" t="s">
        <v>18</v>
      </c>
      <c r="D282" s="70" t="s">
        <v>23</v>
      </c>
      <c r="E282" s="70" t="s">
        <v>14</v>
      </c>
      <c r="F282" s="70" t="s">
        <v>28</v>
      </c>
      <c r="G282" s="71">
        <v>45207</v>
      </c>
      <c r="H282" s="63">
        <v>347</v>
      </c>
      <c r="I282" s="63">
        <v>75.180000000000007</v>
      </c>
      <c r="J282" s="72">
        <v>195.67</v>
      </c>
    </row>
    <row r="283" spans="1:10" ht="32.25" thickBot="1">
      <c r="A283" s="70" t="s">
        <v>310</v>
      </c>
      <c r="B283" s="70" t="s">
        <v>17</v>
      </c>
      <c r="C283" s="70" t="s">
        <v>18</v>
      </c>
      <c r="D283" s="70" t="s">
        <v>42</v>
      </c>
      <c r="E283" s="70" t="s">
        <v>24</v>
      </c>
      <c r="F283" s="70" t="s">
        <v>15</v>
      </c>
      <c r="G283" s="71">
        <v>45208</v>
      </c>
      <c r="H283" s="63">
        <v>375</v>
      </c>
      <c r="I283" s="63">
        <v>140.9</v>
      </c>
      <c r="J283" s="72">
        <v>240.55</v>
      </c>
    </row>
    <row r="284" spans="1:10" ht="32.25" thickBot="1">
      <c r="A284" s="70" t="s">
        <v>311</v>
      </c>
      <c r="B284" s="70" t="s">
        <v>48</v>
      </c>
      <c r="C284" s="70" t="s">
        <v>18</v>
      </c>
      <c r="D284" s="70" t="s">
        <v>23</v>
      </c>
      <c r="E284" s="70" t="s">
        <v>14</v>
      </c>
      <c r="F284" s="70" t="s">
        <v>15</v>
      </c>
      <c r="G284" s="71">
        <v>45209</v>
      </c>
      <c r="H284" s="63">
        <v>104</v>
      </c>
      <c r="I284" s="63">
        <v>300.54000000000002</v>
      </c>
      <c r="J284" s="72">
        <v>241.65</v>
      </c>
    </row>
    <row r="285" spans="1:10" ht="32.25" thickBot="1">
      <c r="A285" s="70" t="s">
        <v>312</v>
      </c>
      <c r="B285" s="70" t="s">
        <v>11</v>
      </c>
      <c r="C285" s="70" t="s">
        <v>12</v>
      </c>
      <c r="D285" s="70"/>
      <c r="E285" s="70" t="s">
        <v>14</v>
      </c>
      <c r="F285" s="70" t="s">
        <v>15</v>
      </c>
      <c r="G285" s="71">
        <v>45210</v>
      </c>
      <c r="H285" s="63">
        <v>175</v>
      </c>
      <c r="I285" s="63">
        <v>339.54</v>
      </c>
      <c r="J285" s="72">
        <v>11.13</v>
      </c>
    </row>
    <row r="286" spans="1:10" ht="32.25" thickBot="1">
      <c r="A286" s="70" t="s">
        <v>313</v>
      </c>
      <c r="B286" s="70" t="s">
        <v>48</v>
      </c>
      <c r="C286" s="70" t="s">
        <v>18</v>
      </c>
      <c r="D286" s="70" t="s">
        <v>13</v>
      </c>
      <c r="E286" s="70" t="s">
        <v>14</v>
      </c>
      <c r="F286" s="70" t="s">
        <v>20</v>
      </c>
      <c r="G286" s="71">
        <v>45211</v>
      </c>
      <c r="H286" s="63">
        <v>41</v>
      </c>
      <c r="I286" s="63">
        <v>224.14</v>
      </c>
      <c r="J286" s="72">
        <v>130.19999999999999</v>
      </c>
    </row>
    <row r="287" spans="1:10" ht="32.25" thickBot="1">
      <c r="A287" s="70" t="s">
        <v>314</v>
      </c>
      <c r="B287" s="70" t="s">
        <v>11</v>
      </c>
      <c r="C287" s="70" t="s">
        <v>50</v>
      </c>
      <c r="D287" s="70" t="s">
        <v>19</v>
      </c>
      <c r="E287" s="70" t="s">
        <v>14</v>
      </c>
      <c r="F287" s="70" t="s">
        <v>28</v>
      </c>
      <c r="G287" s="71">
        <v>45212</v>
      </c>
      <c r="H287" s="63">
        <v>20</v>
      </c>
      <c r="I287" s="63">
        <v>225.67</v>
      </c>
      <c r="J287" s="72">
        <v>255.32</v>
      </c>
    </row>
    <row r="288" spans="1:10" ht="32.25" thickBot="1">
      <c r="A288" s="70" t="s">
        <v>315</v>
      </c>
      <c r="B288" s="70" t="s">
        <v>22</v>
      </c>
      <c r="C288" s="70" t="s">
        <v>31</v>
      </c>
      <c r="D288" s="70" t="s">
        <v>27</v>
      </c>
      <c r="E288" s="70" t="s">
        <v>24</v>
      </c>
      <c r="F288" s="70" t="s">
        <v>20</v>
      </c>
      <c r="G288" s="71">
        <v>45213</v>
      </c>
      <c r="H288" s="63">
        <v>310</v>
      </c>
      <c r="I288" s="63">
        <v>363.64</v>
      </c>
      <c r="J288" s="72">
        <v>61.3</v>
      </c>
    </row>
    <row r="289" spans="1:10" ht="32.25" thickBot="1">
      <c r="A289" s="70" t="s">
        <v>316</v>
      </c>
      <c r="B289" s="70" t="s">
        <v>22</v>
      </c>
      <c r="C289" s="70" t="s">
        <v>31</v>
      </c>
      <c r="D289" s="70" t="s">
        <v>19</v>
      </c>
      <c r="E289" s="70" t="s">
        <v>24</v>
      </c>
      <c r="F289" s="70" t="s">
        <v>20</v>
      </c>
      <c r="G289" s="71">
        <v>45214</v>
      </c>
      <c r="H289" s="63">
        <v>226</v>
      </c>
      <c r="I289" s="63">
        <v>255.39500000000001</v>
      </c>
      <c r="J289" s="72">
        <v>278.77999999999997</v>
      </c>
    </row>
    <row r="290" spans="1:10" ht="32.25" thickBot="1">
      <c r="A290" s="70" t="s">
        <v>317</v>
      </c>
      <c r="B290" s="70" t="s">
        <v>22</v>
      </c>
      <c r="C290" s="70" t="s">
        <v>18</v>
      </c>
      <c r="D290" s="70" t="s">
        <v>19</v>
      </c>
      <c r="E290" s="70" t="s">
        <v>24</v>
      </c>
      <c r="F290" s="70" t="s">
        <v>28</v>
      </c>
      <c r="G290" s="71">
        <v>45215</v>
      </c>
      <c r="H290" s="63">
        <v>248.5</v>
      </c>
      <c r="I290" s="63">
        <v>173.84</v>
      </c>
      <c r="J290" s="72">
        <v>298.88</v>
      </c>
    </row>
    <row r="291" spans="1:10" ht="32.25" thickBot="1">
      <c r="A291" s="70" t="s">
        <v>318</v>
      </c>
      <c r="B291" s="70" t="s">
        <v>17</v>
      </c>
      <c r="C291" s="70" t="s">
        <v>12</v>
      </c>
      <c r="D291" s="70" t="s">
        <v>23</v>
      </c>
      <c r="E291" s="70" t="s">
        <v>14</v>
      </c>
      <c r="F291" s="70" t="s">
        <v>20</v>
      </c>
      <c r="G291" s="71">
        <v>45216</v>
      </c>
      <c r="H291" s="63">
        <v>111</v>
      </c>
      <c r="I291" s="63">
        <v>410.26</v>
      </c>
      <c r="J291" s="72">
        <v>392.82</v>
      </c>
    </row>
    <row r="292" spans="1:10" ht="32.25" thickBot="1">
      <c r="A292" s="70" t="s">
        <v>319</v>
      </c>
      <c r="B292" s="70" t="s">
        <v>22</v>
      </c>
      <c r="C292" s="70" t="s">
        <v>12</v>
      </c>
      <c r="D292" s="70" t="s">
        <v>19</v>
      </c>
      <c r="E292" s="70" t="s">
        <v>24</v>
      </c>
      <c r="F292" s="70" t="s">
        <v>28</v>
      </c>
      <c r="G292" s="71">
        <v>45217</v>
      </c>
      <c r="H292" s="63">
        <v>434</v>
      </c>
      <c r="I292" s="63">
        <v>303.58999999999997</v>
      </c>
      <c r="J292" s="72">
        <v>85.52</v>
      </c>
    </row>
    <row r="293" spans="1:10" ht="32.25" thickBot="1">
      <c r="A293" s="70" t="s">
        <v>320</v>
      </c>
      <c r="B293" s="70" t="s">
        <v>11</v>
      </c>
      <c r="C293" s="70" t="s">
        <v>50</v>
      </c>
      <c r="D293" s="70" t="s">
        <v>42</v>
      </c>
      <c r="E293" s="70" t="s">
        <v>24</v>
      </c>
      <c r="F293" s="70" t="s">
        <v>15</v>
      </c>
      <c r="G293" s="71">
        <v>45218</v>
      </c>
      <c r="H293" s="63">
        <v>401</v>
      </c>
      <c r="I293" s="63">
        <v>171.93</v>
      </c>
      <c r="J293" s="72">
        <v>330.4</v>
      </c>
    </row>
    <row r="294" spans="1:10" ht="32.25" thickBot="1">
      <c r="A294" s="70" t="s">
        <v>321</v>
      </c>
      <c r="B294" s="70" t="s">
        <v>22</v>
      </c>
      <c r="C294" s="70" t="s">
        <v>18</v>
      </c>
      <c r="D294" s="70" t="s">
        <v>23</v>
      </c>
      <c r="E294" s="70" t="s">
        <v>24</v>
      </c>
      <c r="F294" s="70" t="s">
        <v>28</v>
      </c>
      <c r="G294" s="71">
        <v>45219</v>
      </c>
      <c r="H294" s="63">
        <v>276</v>
      </c>
      <c r="I294" s="63">
        <v>453.23</v>
      </c>
      <c r="J294" s="72">
        <v>209.08</v>
      </c>
    </row>
    <row r="295" spans="1:10" ht="32.25" thickBot="1">
      <c r="A295" s="70" t="s">
        <v>322</v>
      </c>
      <c r="B295" s="70" t="s">
        <v>48</v>
      </c>
      <c r="C295" s="70" t="s">
        <v>31</v>
      </c>
      <c r="D295" s="70" t="s">
        <v>42</v>
      </c>
      <c r="E295" s="70" t="s">
        <v>14</v>
      </c>
      <c r="F295" s="70" t="s">
        <v>15</v>
      </c>
      <c r="G295" s="71">
        <v>45220</v>
      </c>
      <c r="H295" s="63">
        <v>248.5</v>
      </c>
      <c r="I295" s="63">
        <v>387.45</v>
      </c>
      <c r="J295" s="72">
        <v>150.63999999999999</v>
      </c>
    </row>
    <row r="296" spans="1:10" ht="32.25" thickBot="1">
      <c r="A296" s="70" t="s">
        <v>323</v>
      </c>
      <c r="B296" s="70" t="s">
        <v>48</v>
      </c>
      <c r="C296" s="70" t="s">
        <v>12</v>
      </c>
      <c r="D296" s="70" t="s">
        <v>27</v>
      </c>
      <c r="E296" s="70" t="s">
        <v>14</v>
      </c>
      <c r="F296" s="70" t="s">
        <v>20</v>
      </c>
      <c r="G296" s="71">
        <v>45221</v>
      </c>
      <c r="H296" s="63">
        <v>188</v>
      </c>
      <c r="I296" s="63">
        <v>136.12</v>
      </c>
      <c r="J296" s="72">
        <v>50.71</v>
      </c>
    </row>
    <row r="297" spans="1:10" ht="32.25" thickBot="1">
      <c r="A297" s="70" t="s">
        <v>324</v>
      </c>
      <c r="B297" s="70" t="s">
        <v>17</v>
      </c>
      <c r="C297" s="70" t="s">
        <v>18</v>
      </c>
      <c r="D297" s="70" t="s">
        <v>23</v>
      </c>
      <c r="E297" s="70" t="s">
        <v>14</v>
      </c>
      <c r="F297" s="70" t="s">
        <v>20</v>
      </c>
      <c r="G297" s="71">
        <v>45222</v>
      </c>
      <c r="H297" s="63">
        <v>97</v>
      </c>
      <c r="I297" s="63">
        <v>324.42</v>
      </c>
      <c r="J297" s="72">
        <v>294.73</v>
      </c>
    </row>
    <row r="298" spans="1:10" ht="32.25" thickBot="1">
      <c r="A298" s="70" t="s">
        <v>325</v>
      </c>
      <c r="B298" s="70" t="s">
        <v>48</v>
      </c>
      <c r="C298" s="70" t="s">
        <v>12</v>
      </c>
      <c r="D298" s="70" t="s">
        <v>27</v>
      </c>
      <c r="E298" s="70" t="s">
        <v>24</v>
      </c>
      <c r="F298" s="70" t="s">
        <v>15</v>
      </c>
      <c r="G298" s="71">
        <v>45223</v>
      </c>
      <c r="H298" s="63">
        <v>50</v>
      </c>
      <c r="I298" s="63">
        <v>299.89999999999998</v>
      </c>
      <c r="J298" s="72">
        <v>95.87</v>
      </c>
    </row>
    <row r="299" spans="1:10" ht="32.25" thickBot="1">
      <c r="A299" s="70" t="s">
        <v>326</v>
      </c>
      <c r="B299" s="70" t="s">
        <v>11</v>
      </c>
      <c r="C299" s="70" t="s">
        <v>12</v>
      </c>
      <c r="D299" s="70" t="s">
        <v>23</v>
      </c>
      <c r="E299" s="70" t="s">
        <v>24</v>
      </c>
      <c r="F299" s="70" t="s">
        <v>20</v>
      </c>
      <c r="G299" s="71">
        <v>45224</v>
      </c>
      <c r="H299" s="63">
        <v>410</v>
      </c>
      <c r="I299" s="63">
        <v>203.59</v>
      </c>
      <c r="J299" s="72">
        <v>149.83000000000001</v>
      </c>
    </row>
    <row r="300" spans="1:10" ht="32.25" thickBot="1">
      <c r="A300" s="70" t="s">
        <v>327</v>
      </c>
      <c r="B300" s="70" t="s">
        <v>22</v>
      </c>
      <c r="C300" s="70" t="s">
        <v>31</v>
      </c>
      <c r="D300" s="70" t="s">
        <v>13</v>
      </c>
      <c r="E300" s="70" t="s">
        <v>24</v>
      </c>
      <c r="F300" s="70" t="s">
        <v>28</v>
      </c>
      <c r="G300" s="71">
        <v>45225</v>
      </c>
      <c r="H300" s="63">
        <v>85</v>
      </c>
      <c r="I300" s="63">
        <v>186.64</v>
      </c>
      <c r="J300" s="72">
        <v>26.89</v>
      </c>
    </row>
    <row r="301" spans="1:10" ht="32.25" thickBot="1">
      <c r="A301" s="70" t="s">
        <v>328</v>
      </c>
      <c r="B301" s="70" t="s">
        <v>17</v>
      </c>
      <c r="C301" s="70" t="s">
        <v>26</v>
      </c>
      <c r="D301" s="70" t="s">
        <v>19</v>
      </c>
      <c r="E301" s="70" t="s">
        <v>14</v>
      </c>
      <c r="F301" s="70" t="s">
        <v>15</v>
      </c>
      <c r="G301" s="71">
        <v>45226</v>
      </c>
      <c r="H301" s="63">
        <v>386</v>
      </c>
      <c r="I301" s="63">
        <v>175.06</v>
      </c>
      <c r="J301" s="72">
        <v>320.94</v>
      </c>
    </row>
    <row r="302" spans="1:10" ht="32.25" thickBot="1">
      <c r="A302" s="70" t="s">
        <v>329</v>
      </c>
      <c r="B302" s="70" t="s">
        <v>22</v>
      </c>
      <c r="C302" s="70" t="s">
        <v>50</v>
      </c>
      <c r="D302" s="70" t="s">
        <v>13</v>
      </c>
      <c r="E302" s="70" t="s">
        <v>14</v>
      </c>
      <c r="F302" s="70" t="s">
        <v>20</v>
      </c>
      <c r="G302" s="71">
        <v>45227</v>
      </c>
      <c r="H302" s="63">
        <v>55</v>
      </c>
      <c r="I302" s="63">
        <v>310.49</v>
      </c>
      <c r="J302" s="72">
        <v>307.10000000000002</v>
      </c>
    </row>
    <row r="303" spans="1:10" ht="32.25" thickBot="1">
      <c r="A303" s="70" t="s">
        <v>330</v>
      </c>
      <c r="B303" s="70" t="s">
        <v>22</v>
      </c>
      <c r="C303" s="70" t="s">
        <v>50</v>
      </c>
      <c r="D303" s="70" t="s">
        <v>27</v>
      </c>
      <c r="E303" s="70" t="s">
        <v>24</v>
      </c>
      <c r="F303" s="70" t="s">
        <v>15</v>
      </c>
      <c r="G303" s="71">
        <v>45228</v>
      </c>
      <c r="H303" s="63">
        <v>169</v>
      </c>
      <c r="I303" s="63">
        <v>223.99</v>
      </c>
      <c r="J303" s="72">
        <v>293.98</v>
      </c>
    </row>
    <row r="304" spans="1:10" ht="32.25" thickBot="1">
      <c r="A304" s="70" t="s">
        <v>331</v>
      </c>
      <c r="B304" s="70" t="s">
        <v>11</v>
      </c>
      <c r="C304" s="70" t="s">
        <v>31</v>
      </c>
      <c r="D304" s="70" t="s">
        <v>19</v>
      </c>
      <c r="E304" s="70" t="s">
        <v>14</v>
      </c>
      <c r="F304" s="70" t="s">
        <v>28</v>
      </c>
      <c r="G304" s="71">
        <v>45229</v>
      </c>
      <c r="H304" s="63">
        <v>472</v>
      </c>
      <c r="I304" s="63">
        <v>416.77</v>
      </c>
      <c r="J304" s="72">
        <v>121.18</v>
      </c>
    </row>
    <row r="305" spans="1:10" ht="32.25" thickBot="1">
      <c r="A305" s="70" t="s">
        <v>332</v>
      </c>
      <c r="B305" s="70" t="s">
        <v>48</v>
      </c>
      <c r="C305" s="70" t="s">
        <v>12</v>
      </c>
      <c r="D305" s="70" t="s">
        <v>23</v>
      </c>
      <c r="E305" s="70" t="s">
        <v>14</v>
      </c>
      <c r="F305" s="70" t="s">
        <v>28</v>
      </c>
      <c r="G305" s="71">
        <v>45230</v>
      </c>
      <c r="H305" s="63">
        <v>89</v>
      </c>
      <c r="I305" s="63">
        <v>336.45</v>
      </c>
      <c r="J305" s="72">
        <v>71.05</v>
      </c>
    </row>
    <row r="306" spans="1:10" ht="32.25" thickBot="1">
      <c r="A306" s="70" t="s">
        <v>333</v>
      </c>
      <c r="B306" s="70" t="s">
        <v>48</v>
      </c>
      <c r="C306" s="70" t="s">
        <v>18</v>
      </c>
      <c r="D306" s="70" t="s">
        <v>19</v>
      </c>
      <c r="E306" s="70" t="s">
        <v>14</v>
      </c>
      <c r="F306" s="70" t="s">
        <v>20</v>
      </c>
      <c r="G306" s="71">
        <v>45231</v>
      </c>
      <c r="H306" s="63">
        <v>319</v>
      </c>
      <c r="I306" s="63">
        <v>39.619999999999997</v>
      </c>
      <c r="J306" s="72">
        <v>255.75</v>
      </c>
    </row>
    <row r="307" spans="1:10" ht="32.25" thickBot="1">
      <c r="A307" s="70" t="s">
        <v>334</v>
      </c>
      <c r="B307" s="70" t="s">
        <v>22</v>
      </c>
      <c r="C307" s="70" t="s">
        <v>12</v>
      </c>
      <c r="D307" s="70"/>
      <c r="E307" s="70" t="s">
        <v>14</v>
      </c>
      <c r="F307" s="70" t="s">
        <v>28</v>
      </c>
      <c r="G307" s="71">
        <v>45232</v>
      </c>
      <c r="H307" s="63">
        <v>95</v>
      </c>
      <c r="I307" s="63">
        <v>321.88</v>
      </c>
      <c r="J307" s="72">
        <v>199.47</v>
      </c>
    </row>
    <row r="308" spans="1:10" ht="32.25" thickBot="1">
      <c r="A308" s="70" t="s">
        <v>335</v>
      </c>
      <c r="B308" s="70" t="s">
        <v>17</v>
      </c>
      <c r="C308" s="70" t="s">
        <v>31</v>
      </c>
      <c r="D308" s="70"/>
      <c r="E308" s="70" t="s">
        <v>24</v>
      </c>
      <c r="F308" s="70" t="s">
        <v>15</v>
      </c>
      <c r="G308" s="71">
        <v>45233</v>
      </c>
      <c r="H308" s="63">
        <v>101</v>
      </c>
      <c r="I308" s="63">
        <v>139.22</v>
      </c>
      <c r="J308" s="72">
        <v>72.94</v>
      </c>
    </row>
    <row r="309" spans="1:10" ht="32.25" thickBot="1">
      <c r="A309" s="70" t="s">
        <v>336</v>
      </c>
      <c r="B309" s="70" t="s">
        <v>48</v>
      </c>
      <c r="C309" s="70" t="s">
        <v>50</v>
      </c>
      <c r="D309" s="70"/>
      <c r="E309" s="70" t="s">
        <v>14</v>
      </c>
      <c r="F309" s="70" t="s">
        <v>28</v>
      </c>
      <c r="G309" s="71">
        <v>45234</v>
      </c>
      <c r="H309" s="63">
        <v>157</v>
      </c>
      <c r="I309" s="63">
        <v>255.39500000000001</v>
      </c>
      <c r="J309" s="72">
        <v>274.99</v>
      </c>
    </row>
    <row r="310" spans="1:10" ht="32.25" thickBot="1">
      <c r="A310" s="70" t="s">
        <v>337</v>
      </c>
      <c r="B310" s="70" t="s">
        <v>17</v>
      </c>
      <c r="C310" s="70" t="s">
        <v>12</v>
      </c>
      <c r="D310" s="70" t="s">
        <v>19</v>
      </c>
      <c r="E310" s="70" t="s">
        <v>14</v>
      </c>
      <c r="F310" s="70" t="s">
        <v>15</v>
      </c>
      <c r="G310" s="71">
        <v>45235</v>
      </c>
      <c r="H310" s="63">
        <v>170</v>
      </c>
      <c r="I310" s="63">
        <v>341.67</v>
      </c>
      <c r="J310" s="72">
        <v>396.47</v>
      </c>
    </row>
    <row r="311" spans="1:10" ht="32.25" thickBot="1">
      <c r="A311" s="70" t="s">
        <v>338</v>
      </c>
      <c r="B311" s="70" t="s">
        <v>48</v>
      </c>
      <c r="C311" s="70" t="s">
        <v>50</v>
      </c>
      <c r="D311" s="70" t="s">
        <v>42</v>
      </c>
      <c r="E311" s="70" t="s">
        <v>14</v>
      </c>
      <c r="F311" s="70" t="s">
        <v>15</v>
      </c>
      <c r="G311" s="71">
        <v>45236</v>
      </c>
      <c r="H311" s="63">
        <v>211</v>
      </c>
      <c r="I311" s="63">
        <v>119.26</v>
      </c>
      <c r="J311" s="72">
        <v>299.39</v>
      </c>
    </row>
    <row r="312" spans="1:10" ht="32.25" thickBot="1">
      <c r="A312" s="70" t="s">
        <v>339</v>
      </c>
      <c r="B312" s="70" t="s">
        <v>17</v>
      </c>
      <c r="C312" s="70" t="s">
        <v>18</v>
      </c>
      <c r="D312" s="70" t="s">
        <v>27</v>
      </c>
      <c r="E312" s="70" t="s">
        <v>14</v>
      </c>
      <c r="F312" s="70" t="s">
        <v>28</v>
      </c>
      <c r="G312" s="71">
        <v>45237</v>
      </c>
      <c r="H312" s="63">
        <v>433</v>
      </c>
      <c r="I312" s="63">
        <v>231.15</v>
      </c>
      <c r="J312" s="72">
        <v>296.51</v>
      </c>
    </row>
    <row r="313" spans="1:10" ht="32.25" thickBot="1">
      <c r="A313" s="70" t="s">
        <v>340</v>
      </c>
      <c r="B313" s="70" t="s">
        <v>11</v>
      </c>
      <c r="C313" s="70" t="s">
        <v>50</v>
      </c>
      <c r="D313" s="70" t="s">
        <v>13</v>
      </c>
      <c r="E313" s="70" t="s">
        <v>24</v>
      </c>
      <c r="F313" s="70" t="s">
        <v>20</v>
      </c>
      <c r="G313" s="71">
        <v>45238</v>
      </c>
      <c r="H313" s="63">
        <v>425</v>
      </c>
      <c r="I313" s="63">
        <v>99.21</v>
      </c>
      <c r="J313" s="72">
        <v>380.22</v>
      </c>
    </row>
    <row r="314" spans="1:10" ht="32.25" thickBot="1">
      <c r="A314" s="70" t="s">
        <v>341</v>
      </c>
      <c r="B314" s="70" t="s">
        <v>17</v>
      </c>
      <c r="C314" s="70" t="s">
        <v>50</v>
      </c>
      <c r="D314" s="70" t="s">
        <v>23</v>
      </c>
      <c r="E314" s="70" t="s">
        <v>24</v>
      </c>
      <c r="F314" s="70" t="s">
        <v>28</v>
      </c>
      <c r="G314" s="71">
        <v>45239</v>
      </c>
      <c r="H314" s="63">
        <v>251</v>
      </c>
      <c r="I314" s="63">
        <v>30.91</v>
      </c>
      <c r="J314" s="72">
        <v>82.77</v>
      </c>
    </row>
    <row r="315" spans="1:10" ht="32.25" thickBot="1">
      <c r="A315" s="70" t="s">
        <v>342</v>
      </c>
      <c r="B315" s="70" t="s">
        <v>11</v>
      </c>
      <c r="C315" s="70" t="s">
        <v>26</v>
      </c>
      <c r="D315" s="70" t="s">
        <v>19</v>
      </c>
      <c r="E315" s="70" t="s">
        <v>14</v>
      </c>
      <c r="F315" s="70" t="s">
        <v>15</v>
      </c>
      <c r="G315" s="71">
        <v>45240</v>
      </c>
      <c r="H315" s="63">
        <v>248.5</v>
      </c>
      <c r="I315" s="63">
        <v>192.35</v>
      </c>
      <c r="J315" s="72">
        <v>227.09</v>
      </c>
    </row>
    <row r="316" spans="1:10" ht="32.25" thickBot="1">
      <c r="A316" s="70" t="s">
        <v>343</v>
      </c>
      <c r="B316" s="70" t="s">
        <v>11</v>
      </c>
      <c r="C316" s="70" t="s">
        <v>26</v>
      </c>
      <c r="D316" s="70" t="s">
        <v>13</v>
      </c>
      <c r="E316" s="70" t="s">
        <v>14</v>
      </c>
      <c r="F316" s="70" t="s">
        <v>15</v>
      </c>
      <c r="G316" s="71">
        <v>45241</v>
      </c>
      <c r="H316" s="63">
        <v>11</v>
      </c>
      <c r="I316" s="63">
        <v>184.66</v>
      </c>
      <c r="J316" s="72">
        <v>391.9</v>
      </c>
    </row>
    <row r="317" spans="1:10" ht="32.25" thickBot="1">
      <c r="A317" s="70" t="s">
        <v>344</v>
      </c>
      <c r="B317" s="70" t="s">
        <v>17</v>
      </c>
      <c r="C317" s="70" t="s">
        <v>26</v>
      </c>
      <c r="D317" s="70" t="s">
        <v>23</v>
      </c>
      <c r="E317" s="70" t="s">
        <v>14</v>
      </c>
      <c r="F317" s="70" t="s">
        <v>28</v>
      </c>
      <c r="G317" s="71">
        <v>45242</v>
      </c>
      <c r="H317" s="63">
        <v>234</v>
      </c>
      <c r="I317" s="63">
        <v>497.76</v>
      </c>
      <c r="J317" s="72">
        <v>67.790000000000006</v>
      </c>
    </row>
    <row r="318" spans="1:10" ht="32.25" thickBot="1">
      <c r="A318" s="70" t="s">
        <v>345</v>
      </c>
      <c r="B318" s="70" t="s">
        <v>11</v>
      </c>
      <c r="C318" s="70" t="s">
        <v>50</v>
      </c>
      <c r="D318" s="70" t="s">
        <v>23</v>
      </c>
      <c r="E318" s="70" t="s">
        <v>14</v>
      </c>
      <c r="F318" s="70" t="s">
        <v>20</v>
      </c>
      <c r="G318" s="71">
        <v>45243</v>
      </c>
      <c r="H318" s="63">
        <v>248.5</v>
      </c>
      <c r="I318" s="63">
        <v>225.94</v>
      </c>
      <c r="J318" s="72">
        <v>280.7</v>
      </c>
    </row>
    <row r="319" spans="1:10" ht="32.25" thickBot="1">
      <c r="A319" s="70" t="s">
        <v>346</v>
      </c>
      <c r="B319" s="70" t="s">
        <v>22</v>
      </c>
      <c r="C319" s="70" t="s">
        <v>31</v>
      </c>
      <c r="D319" s="70" t="s">
        <v>42</v>
      </c>
      <c r="E319" s="70" t="s">
        <v>14</v>
      </c>
      <c r="F319" s="70" t="s">
        <v>20</v>
      </c>
      <c r="G319" s="71">
        <v>45244</v>
      </c>
      <c r="H319" s="63">
        <v>242</v>
      </c>
      <c r="I319" s="63">
        <v>170.12</v>
      </c>
      <c r="J319" s="72">
        <v>235.15</v>
      </c>
    </row>
    <row r="320" spans="1:10" ht="32.25" thickBot="1">
      <c r="A320" s="70" t="s">
        <v>347</v>
      </c>
      <c r="B320" s="70" t="s">
        <v>11</v>
      </c>
      <c r="C320" s="70" t="s">
        <v>50</v>
      </c>
      <c r="D320" s="70" t="s">
        <v>27</v>
      </c>
      <c r="E320" s="70" t="s">
        <v>14</v>
      </c>
      <c r="F320" s="70" t="s">
        <v>15</v>
      </c>
      <c r="G320" s="71">
        <v>45245</v>
      </c>
      <c r="H320" s="63">
        <v>470</v>
      </c>
      <c r="I320" s="63">
        <v>292.33999999999997</v>
      </c>
      <c r="J320" s="72">
        <v>235.42</v>
      </c>
    </row>
    <row r="321" spans="1:10" ht="32.25" thickBot="1">
      <c r="A321" s="70" t="s">
        <v>348</v>
      </c>
      <c r="B321" s="70" t="s">
        <v>48</v>
      </c>
      <c r="C321" s="70" t="s">
        <v>31</v>
      </c>
      <c r="D321" s="70" t="s">
        <v>27</v>
      </c>
      <c r="E321" s="70" t="s">
        <v>24</v>
      </c>
      <c r="F321" s="70" t="s">
        <v>15</v>
      </c>
      <c r="G321" s="71">
        <v>45246</v>
      </c>
      <c r="H321" s="63">
        <v>423</v>
      </c>
      <c r="I321" s="63">
        <v>48.94</v>
      </c>
      <c r="J321" s="72">
        <v>279.67</v>
      </c>
    </row>
    <row r="322" spans="1:10" ht="32.25" thickBot="1">
      <c r="A322" s="70" t="s">
        <v>349</v>
      </c>
      <c r="B322" s="70" t="s">
        <v>17</v>
      </c>
      <c r="C322" s="70" t="s">
        <v>31</v>
      </c>
      <c r="D322" s="70" t="s">
        <v>13</v>
      </c>
      <c r="E322" s="70" t="s">
        <v>14</v>
      </c>
      <c r="F322" s="70" t="s">
        <v>20</v>
      </c>
      <c r="G322" s="71">
        <v>45247</v>
      </c>
      <c r="H322" s="63">
        <v>426</v>
      </c>
      <c r="I322" s="63">
        <v>481.02</v>
      </c>
      <c r="J322" s="72">
        <v>371.99</v>
      </c>
    </row>
    <row r="323" spans="1:10" ht="32.25" thickBot="1">
      <c r="A323" s="70" t="s">
        <v>350</v>
      </c>
      <c r="B323" s="70" t="s">
        <v>22</v>
      </c>
      <c r="C323" s="70" t="s">
        <v>26</v>
      </c>
      <c r="D323" s="70" t="s">
        <v>27</v>
      </c>
      <c r="E323" s="70" t="s">
        <v>24</v>
      </c>
      <c r="F323" s="70" t="s">
        <v>28</v>
      </c>
      <c r="G323" s="71">
        <v>45248</v>
      </c>
      <c r="H323" s="63">
        <v>86</v>
      </c>
      <c r="I323" s="63">
        <v>319.31</v>
      </c>
      <c r="J323" s="72">
        <v>313.47000000000003</v>
      </c>
    </row>
    <row r="324" spans="1:10" ht="32.25" thickBot="1">
      <c r="A324" s="70" t="s">
        <v>351</v>
      </c>
      <c r="B324" s="70" t="s">
        <v>17</v>
      </c>
      <c r="C324" s="70" t="s">
        <v>12</v>
      </c>
      <c r="D324" s="70" t="s">
        <v>19</v>
      </c>
      <c r="E324" s="70" t="s">
        <v>24</v>
      </c>
      <c r="F324" s="70" t="s">
        <v>15</v>
      </c>
      <c r="G324" s="71">
        <v>45249</v>
      </c>
      <c r="H324" s="63">
        <v>125</v>
      </c>
      <c r="I324" s="63">
        <v>378.64</v>
      </c>
      <c r="J324" s="72">
        <v>24.34</v>
      </c>
    </row>
    <row r="325" spans="1:10" ht="32.25" thickBot="1">
      <c r="A325" s="70" t="s">
        <v>352</v>
      </c>
      <c r="B325" s="70" t="s">
        <v>48</v>
      </c>
      <c r="C325" s="70" t="s">
        <v>18</v>
      </c>
      <c r="D325" s="70"/>
      <c r="E325" s="70" t="s">
        <v>14</v>
      </c>
      <c r="F325" s="70" t="s">
        <v>15</v>
      </c>
      <c r="G325" s="71">
        <v>45250</v>
      </c>
      <c r="H325" s="63">
        <v>163</v>
      </c>
      <c r="I325" s="63">
        <v>89.39</v>
      </c>
      <c r="J325" s="72">
        <v>341.39</v>
      </c>
    </row>
    <row r="326" spans="1:10" ht="32.25" thickBot="1">
      <c r="A326" s="70" t="s">
        <v>353</v>
      </c>
      <c r="B326" s="70" t="s">
        <v>48</v>
      </c>
      <c r="C326" s="70" t="s">
        <v>26</v>
      </c>
      <c r="D326" s="70" t="s">
        <v>13</v>
      </c>
      <c r="E326" s="70" t="s">
        <v>24</v>
      </c>
      <c r="F326" s="70" t="s">
        <v>20</v>
      </c>
      <c r="G326" s="71">
        <v>45251</v>
      </c>
      <c r="H326" s="63">
        <v>415</v>
      </c>
      <c r="I326" s="63">
        <v>207.69</v>
      </c>
      <c r="J326" s="72">
        <v>91.77</v>
      </c>
    </row>
    <row r="327" spans="1:10" ht="32.25" thickBot="1">
      <c r="A327" s="70" t="s">
        <v>354</v>
      </c>
      <c r="B327" s="70" t="s">
        <v>48</v>
      </c>
      <c r="C327" s="70" t="s">
        <v>26</v>
      </c>
      <c r="D327" s="70" t="s">
        <v>27</v>
      </c>
      <c r="E327" s="70" t="s">
        <v>24</v>
      </c>
      <c r="F327" s="70" t="s">
        <v>28</v>
      </c>
      <c r="G327" s="71">
        <v>45252</v>
      </c>
      <c r="H327" s="63">
        <v>112</v>
      </c>
      <c r="I327" s="63">
        <v>214.23</v>
      </c>
      <c r="J327" s="72">
        <v>152.01</v>
      </c>
    </row>
    <row r="328" spans="1:10" ht="32.25" thickBot="1">
      <c r="A328" s="70" t="s">
        <v>355</v>
      </c>
      <c r="B328" s="70" t="s">
        <v>11</v>
      </c>
      <c r="C328" s="70" t="s">
        <v>12</v>
      </c>
      <c r="D328" s="70" t="s">
        <v>19</v>
      </c>
      <c r="E328" s="70" t="s">
        <v>24</v>
      </c>
      <c r="F328" s="70" t="s">
        <v>20</v>
      </c>
      <c r="G328" s="71">
        <v>45253</v>
      </c>
      <c r="H328" s="63">
        <v>203</v>
      </c>
      <c r="I328" s="63">
        <v>411.79</v>
      </c>
      <c r="J328" s="72">
        <v>185.77</v>
      </c>
    </row>
    <row r="329" spans="1:10" ht="32.25" thickBot="1">
      <c r="A329" s="70" t="s">
        <v>356</v>
      </c>
      <c r="B329" s="70" t="s">
        <v>11</v>
      </c>
      <c r="C329" s="70" t="s">
        <v>18</v>
      </c>
      <c r="D329" s="70" t="s">
        <v>42</v>
      </c>
      <c r="E329" s="70" t="s">
        <v>24</v>
      </c>
      <c r="F329" s="70" t="s">
        <v>28</v>
      </c>
      <c r="G329" s="71">
        <v>45254</v>
      </c>
      <c r="H329" s="63">
        <v>248.5</v>
      </c>
      <c r="I329" s="63">
        <v>5.61</v>
      </c>
      <c r="J329" s="72">
        <v>193.4</v>
      </c>
    </row>
    <row r="330" spans="1:10" ht="32.25" thickBot="1">
      <c r="A330" s="70" t="s">
        <v>357</v>
      </c>
      <c r="B330" s="70" t="s">
        <v>17</v>
      </c>
      <c r="C330" s="70" t="s">
        <v>50</v>
      </c>
      <c r="D330" s="70" t="s">
        <v>13</v>
      </c>
      <c r="E330" s="70" t="s">
        <v>24</v>
      </c>
      <c r="F330" s="70" t="s">
        <v>28</v>
      </c>
      <c r="G330" s="71">
        <v>45255</v>
      </c>
      <c r="H330" s="63">
        <v>368</v>
      </c>
      <c r="I330" s="63">
        <v>153.91999999999999</v>
      </c>
      <c r="J330" s="72">
        <v>175.2</v>
      </c>
    </row>
    <row r="331" spans="1:10" ht="32.25" thickBot="1">
      <c r="A331" s="70" t="s">
        <v>358</v>
      </c>
      <c r="B331" s="70" t="s">
        <v>17</v>
      </c>
      <c r="C331" s="70" t="s">
        <v>50</v>
      </c>
      <c r="D331" s="70" t="s">
        <v>42</v>
      </c>
      <c r="E331" s="70" t="s">
        <v>24</v>
      </c>
      <c r="F331" s="70" t="s">
        <v>28</v>
      </c>
      <c r="G331" s="71">
        <v>45256</v>
      </c>
      <c r="H331" s="63">
        <v>99</v>
      </c>
      <c r="I331" s="63">
        <v>490.71</v>
      </c>
      <c r="J331" s="72">
        <v>375.07</v>
      </c>
    </row>
    <row r="332" spans="1:10" ht="32.25" thickBot="1">
      <c r="A332" s="70" t="s">
        <v>359</v>
      </c>
      <c r="B332" s="70" t="s">
        <v>22</v>
      </c>
      <c r="C332" s="70" t="s">
        <v>26</v>
      </c>
      <c r="D332" s="70" t="s">
        <v>42</v>
      </c>
      <c r="E332" s="70" t="s">
        <v>14</v>
      </c>
      <c r="F332" s="70" t="s">
        <v>15</v>
      </c>
      <c r="G332" s="71">
        <v>45257</v>
      </c>
      <c r="H332" s="63">
        <v>183</v>
      </c>
      <c r="I332" s="63">
        <v>240.07</v>
      </c>
      <c r="J332" s="72">
        <v>283</v>
      </c>
    </row>
    <row r="333" spans="1:10" ht="32.25" thickBot="1">
      <c r="A333" s="70" t="s">
        <v>360</v>
      </c>
      <c r="B333" s="70"/>
      <c r="C333" s="70" t="s">
        <v>18</v>
      </c>
      <c r="D333" s="70" t="s">
        <v>42</v>
      </c>
      <c r="E333" s="70" t="s">
        <v>24</v>
      </c>
      <c r="F333" s="70" t="s">
        <v>20</v>
      </c>
      <c r="G333" s="71">
        <v>45258</v>
      </c>
      <c r="H333" s="63">
        <v>131</v>
      </c>
      <c r="I333" s="63">
        <v>194.35</v>
      </c>
      <c r="J333" s="72">
        <v>253.21</v>
      </c>
    </row>
    <row r="334" spans="1:10" ht="32.25" thickBot="1">
      <c r="A334" s="70" t="s">
        <v>361</v>
      </c>
      <c r="B334" s="70" t="s">
        <v>17</v>
      </c>
      <c r="C334" s="70" t="s">
        <v>26</v>
      </c>
      <c r="D334" s="70" t="s">
        <v>23</v>
      </c>
      <c r="E334" s="70" t="s">
        <v>24</v>
      </c>
      <c r="F334" s="70" t="s">
        <v>20</v>
      </c>
      <c r="G334" s="71">
        <v>45259</v>
      </c>
      <c r="H334" s="63">
        <v>152</v>
      </c>
      <c r="I334" s="63">
        <v>64.319999999999993</v>
      </c>
      <c r="J334" s="72">
        <v>21.84</v>
      </c>
    </row>
    <row r="335" spans="1:10" ht="32.25" thickBot="1">
      <c r="A335" s="70" t="s">
        <v>362</v>
      </c>
      <c r="B335" s="70" t="s">
        <v>11</v>
      </c>
      <c r="C335" s="70" t="s">
        <v>31</v>
      </c>
      <c r="D335" s="70" t="s">
        <v>23</v>
      </c>
      <c r="E335" s="70" t="s">
        <v>24</v>
      </c>
      <c r="F335" s="70" t="s">
        <v>28</v>
      </c>
      <c r="G335" s="71">
        <v>45260</v>
      </c>
      <c r="H335" s="63">
        <v>491</v>
      </c>
      <c r="I335" s="63">
        <v>487.21</v>
      </c>
      <c r="J335" s="72">
        <v>361.76</v>
      </c>
    </row>
    <row r="336" spans="1:10" ht="32.25" thickBot="1">
      <c r="A336" s="70" t="s">
        <v>363</v>
      </c>
      <c r="B336" s="70" t="s">
        <v>48</v>
      </c>
      <c r="C336" s="70" t="s">
        <v>26</v>
      </c>
      <c r="D336" s="70" t="s">
        <v>42</v>
      </c>
      <c r="E336" s="70" t="s">
        <v>14</v>
      </c>
      <c r="F336" s="70" t="s">
        <v>15</v>
      </c>
      <c r="G336" s="71">
        <v>45261</v>
      </c>
      <c r="H336" s="63">
        <v>115</v>
      </c>
      <c r="I336" s="63">
        <v>14.91</v>
      </c>
      <c r="J336" s="72">
        <v>363.94</v>
      </c>
    </row>
    <row r="337" spans="1:10" ht="32.25" thickBot="1">
      <c r="A337" s="70" t="s">
        <v>364</v>
      </c>
      <c r="B337" s="70" t="s">
        <v>17</v>
      </c>
      <c r="C337" s="70" t="s">
        <v>26</v>
      </c>
      <c r="D337" s="70" t="s">
        <v>13</v>
      </c>
      <c r="E337" s="70" t="s">
        <v>24</v>
      </c>
      <c r="F337" s="70" t="s">
        <v>15</v>
      </c>
      <c r="G337" s="71">
        <v>45262</v>
      </c>
      <c r="H337" s="63">
        <v>384</v>
      </c>
      <c r="I337" s="63">
        <v>369.9</v>
      </c>
      <c r="J337" s="72">
        <v>312.52</v>
      </c>
    </row>
    <row r="338" spans="1:10" ht="32.25" thickBot="1">
      <c r="A338" s="70" t="s">
        <v>365</v>
      </c>
      <c r="B338" s="70" t="s">
        <v>22</v>
      </c>
      <c r="C338" s="70" t="s">
        <v>50</v>
      </c>
      <c r="D338" s="70" t="s">
        <v>19</v>
      </c>
      <c r="E338" s="70" t="s">
        <v>14</v>
      </c>
      <c r="F338" s="70" t="s">
        <v>20</v>
      </c>
      <c r="G338" s="71">
        <v>45263</v>
      </c>
      <c r="H338" s="63">
        <v>437</v>
      </c>
      <c r="I338" s="63">
        <v>385.46</v>
      </c>
      <c r="J338" s="72">
        <v>4.8</v>
      </c>
    </row>
    <row r="339" spans="1:10" ht="32.25" thickBot="1">
      <c r="A339" s="70" t="s">
        <v>366</v>
      </c>
      <c r="B339" s="70" t="s">
        <v>11</v>
      </c>
      <c r="C339" s="70" t="s">
        <v>50</v>
      </c>
      <c r="D339" s="70" t="s">
        <v>19</v>
      </c>
      <c r="E339" s="70" t="s">
        <v>24</v>
      </c>
      <c r="F339" s="70" t="s">
        <v>15</v>
      </c>
      <c r="G339" s="71">
        <v>45264</v>
      </c>
      <c r="H339" s="63">
        <v>314</v>
      </c>
      <c r="I339" s="63">
        <v>125.61</v>
      </c>
      <c r="J339" s="72">
        <v>24.8</v>
      </c>
    </row>
    <row r="340" spans="1:10" ht="32.25" thickBot="1">
      <c r="A340" s="70" t="s">
        <v>367</v>
      </c>
      <c r="B340" s="70" t="s">
        <v>17</v>
      </c>
      <c r="C340" s="70" t="s">
        <v>50</v>
      </c>
      <c r="D340" s="70" t="s">
        <v>27</v>
      </c>
      <c r="E340" s="70" t="s">
        <v>14</v>
      </c>
      <c r="F340" s="70" t="s">
        <v>15</v>
      </c>
      <c r="G340" s="71">
        <v>45265</v>
      </c>
      <c r="H340" s="63">
        <v>369</v>
      </c>
      <c r="I340" s="63">
        <v>337.42</v>
      </c>
      <c r="J340" s="72">
        <v>91.64</v>
      </c>
    </row>
    <row r="341" spans="1:10" ht="32.25" thickBot="1">
      <c r="A341" s="70" t="s">
        <v>368</v>
      </c>
      <c r="B341" s="70" t="s">
        <v>17</v>
      </c>
      <c r="C341" s="70" t="s">
        <v>31</v>
      </c>
      <c r="D341" s="70" t="s">
        <v>13</v>
      </c>
      <c r="E341" s="70" t="s">
        <v>14</v>
      </c>
      <c r="F341" s="70" t="s">
        <v>28</v>
      </c>
      <c r="G341" s="71">
        <v>45266</v>
      </c>
      <c r="H341" s="63">
        <v>468</v>
      </c>
      <c r="I341" s="63">
        <v>51</v>
      </c>
      <c r="J341" s="72">
        <v>54.28</v>
      </c>
    </row>
    <row r="342" spans="1:10" ht="32.25" thickBot="1">
      <c r="A342" s="70" t="s">
        <v>369</v>
      </c>
      <c r="B342" s="70" t="s">
        <v>11</v>
      </c>
      <c r="C342" s="70" t="s">
        <v>50</v>
      </c>
      <c r="D342" s="70" t="s">
        <v>23</v>
      </c>
      <c r="E342" s="70" t="s">
        <v>24</v>
      </c>
      <c r="F342" s="70" t="s">
        <v>15</v>
      </c>
      <c r="G342" s="71">
        <v>45267</v>
      </c>
      <c r="H342" s="63">
        <v>326</v>
      </c>
      <c r="I342" s="63">
        <v>132.24</v>
      </c>
      <c r="J342" s="72">
        <v>160.74</v>
      </c>
    </row>
    <row r="343" spans="1:10" ht="32.25" thickBot="1">
      <c r="A343" s="70" t="s">
        <v>370</v>
      </c>
      <c r="B343" s="70" t="s">
        <v>17</v>
      </c>
      <c r="C343" s="70" t="s">
        <v>18</v>
      </c>
      <c r="D343" s="70" t="s">
        <v>42</v>
      </c>
      <c r="E343" s="70" t="s">
        <v>24</v>
      </c>
      <c r="F343" s="70" t="s">
        <v>28</v>
      </c>
      <c r="G343" s="71">
        <v>45268</v>
      </c>
      <c r="H343" s="63">
        <v>460</v>
      </c>
      <c r="I343" s="63">
        <v>395.01</v>
      </c>
      <c r="J343" s="72">
        <v>369.2</v>
      </c>
    </row>
    <row r="344" spans="1:10" ht="32.25" thickBot="1">
      <c r="A344" s="70" t="s">
        <v>371</v>
      </c>
      <c r="B344" s="70" t="s">
        <v>11</v>
      </c>
      <c r="C344" s="70" t="s">
        <v>12</v>
      </c>
      <c r="D344" s="70" t="s">
        <v>27</v>
      </c>
      <c r="E344" s="70" t="s">
        <v>14</v>
      </c>
      <c r="F344" s="70" t="s">
        <v>20</v>
      </c>
      <c r="G344" s="71">
        <v>45269</v>
      </c>
      <c r="H344" s="63">
        <v>132</v>
      </c>
      <c r="I344" s="63">
        <v>433.02</v>
      </c>
      <c r="J344" s="72">
        <v>189.88</v>
      </c>
    </row>
    <row r="345" spans="1:10" ht="32.25" thickBot="1">
      <c r="A345" s="70" t="s">
        <v>372</v>
      </c>
      <c r="B345" s="70" t="s">
        <v>48</v>
      </c>
      <c r="C345" s="70" t="s">
        <v>18</v>
      </c>
      <c r="D345" s="70" t="s">
        <v>19</v>
      </c>
      <c r="E345" s="70" t="s">
        <v>24</v>
      </c>
      <c r="F345" s="70" t="s">
        <v>15</v>
      </c>
      <c r="G345" s="71">
        <v>45270</v>
      </c>
      <c r="H345" s="63">
        <v>399</v>
      </c>
      <c r="I345" s="63">
        <v>306.2</v>
      </c>
      <c r="J345" s="72">
        <v>7.33</v>
      </c>
    </row>
    <row r="346" spans="1:10" ht="32.25" thickBot="1">
      <c r="A346" s="70" t="s">
        <v>373</v>
      </c>
      <c r="B346" s="70" t="s">
        <v>11</v>
      </c>
      <c r="C346" s="70" t="s">
        <v>18</v>
      </c>
      <c r="D346" s="70" t="s">
        <v>23</v>
      </c>
      <c r="E346" s="70" t="s">
        <v>14</v>
      </c>
      <c r="F346" s="70" t="s">
        <v>20</v>
      </c>
      <c r="G346" s="71">
        <v>45271</v>
      </c>
      <c r="H346" s="63">
        <v>18</v>
      </c>
      <c r="I346" s="63">
        <v>255.89</v>
      </c>
      <c r="J346" s="72">
        <v>114.53</v>
      </c>
    </row>
    <row r="347" spans="1:10" ht="32.25" thickBot="1">
      <c r="A347" s="70" t="s">
        <v>374</v>
      </c>
      <c r="B347" s="70" t="s">
        <v>11</v>
      </c>
      <c r="C347" s="70" t="s">
        <v>50</v>
      </c>
      <c r="D347" s="70" t="s">
        <v>23</v>
      </c>
      <c r="E347" s="70" t="s">
        <v>14</v>
      </c>
      <c r="F347" s="70" t="s">
        <v>20</v>
      </c>
      <c r="G347" s="71">
        <v>45272</v>
      </c>
      <c r="H347" s="63">
        <v>271</v>
      </c>
      <c r="I347" s="63">
        <v>83.86</v>
      </c>
      <c r="J347" s="72">
        <v>19.75</v>
      </c>
    </row>
    <row r="348" spans="1:10" ht="32.25" thickBot="1">
      <c r="A348" s="70" t="s">
        <v>375</v>
      </c>
      <c r="B348" s="70"/>
      <c r="C348" s="70" t="s">
        <v>12</v>
      </c>
      <c r="D348" s="70" t="s">
        <v>42</v>
      </c>
      <c r="E348" s="70" t="s">
        <v>14</v>
      </c>
      <c r="F348" s="70" t="s">
        <v>15</v>
      </c>
      <c r="G348" s="71">
        <v>45273</v>
      </c>
      <c r="H348" s="63">
        <v>82</v>
      </c>
      <c r="I348" s="63">
        <v>36.24</v>
      </c>
      <c r="J348" s="72">
        <v>16.440000000000001</v>
      </c>
    </row>
    <row r="349" spans="1:10" ht="32.25" thickBot="1">
      <c r="A349" s="70" t="s">
        <v>376</v>
      </c>
      <c r="B349" s="70" t="s">
        <v>17</v>
      </c>
      <c r="C349" s="70" t="s">
        <v>12</v>
      </c>
      <c r="D349" s="70" t="s">
        <v>19</v>
      </c>
      <c r="E349" s="70" t="s">
        <v>14</v>
      </c>
      <c r="F349" s="70" t="s">
        <v>15</v>
      </c>
      <c r="G349" s="71">
        <v>45274</v>
      </c>
      <c r="H349" s="63">
        <v>368</v>
      </c>
      <c r="I349" s="63">
        <v>63.24</v>
      </c>
      <c r="J349" s="72">
        <v>111.74</v>
      </c>
    </row>
    <row r="350" spans="1:10" ht="32.25" thickBot="1">
      <c r="A350" s="70" t="s">
        <v>377</v>
      </c>
      <c r="B350" s="70" t="s">
        <v>17</v>
      </c>
      <c r="C350" s="70" t="s">
        <v>12</v>
      </c>
      <c r="D350" s="70" t="s">
        <v>13</v>
      </c>
      <c r="E350" s="70" t="s">
        <v>14</v>
      </c>
      <c r="F350" s="70" t="s">
        <v>20</v>
      </c>
      <c r="G350" s="71">
        <v>45275</v>
      </c>
      <c r="H350" s="63">
        <v>232</v>
      </c>
      <c r="I350" s="63">
        <v>117.54</v>
      </c>
      <c r="J350" s="72">
        <v>111.69</v>
      </c>
    </row>
    <row r="351" spans="1:10" ht="32.25" thickBot="1">
      <c r="A351" s="70" t="s">
        <v>378</v>
      </c>
      <c r="B351" s="70" t="s">
        <v>11</v>
      </c>
      <c r="C351" s="70" t="s">
        <v>31</v>
      </c>
      <c r="D351" s="70" t="s">
        <v>23</v>
      </c>
      <c r="E351" s="70" t="s">
        <v>24</v>
      </c>
      <c r="F351" s="70" t="s">
        <v>15</v>
      </c>
      <c r="G351" s="71">
        <v>45276</v>
      </c>
      <c r="H351" s="63">
        <v>425</v>
      </c>
      <c r="I351" s="63">
        <v>174.13</v>
      </c>
      <c r="J351" s="72">
        <v>315.27999999999997</v>
      </c>
    </row>
  </sheetData>
  <mergeCells count="1">
    <mergeCell ref="L3:R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O354"/>
  <sheetViews>
    <sheetView workbookViewId="0">
      <selection activeCell="N14" sqref="N14"/>
    </sheetView>
  </sheetViews>
  <sheetFormatPr defaultRowHeight="15"/>
  <cols>
    <col min="7" max="7" width="18.140625" bestFit="1" customWidth="1"/>
    <col min="11" max="11" width="13.140625" bestFit="1" customWidth="1"/>
    <col min="15" max="15" width="10.7109375" bestFit="1" customWidth="1"/>
    <col min="20" max="20" width="15.42578125" bestFit="1" customWidth="1"/>
  </cols>
  <sheetData>
    <row r="2" spans="1:15" ht="18.75">
      <c r="B2" s="8" t="s">
        <v>394</v>
      </c>
      <c r="C2" s="8"/>
      <c r="D2" s="8"/>
      <c r="E2" s="8"/>
      <c r="F2" s="8"/>
      <c r="G2" s="8"/>
      <c r="H2" s="8"/>
      <c r="I2" s="1"/>
    </row>
    <row r="4" spans="1:1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7" t="s">
        <v>395</v>
      </c>
    </row>
    <row r="5" spans="1:1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  <c r="K5" s="18">
        <f>H5*I5</f>
        <v>35936.199999999997</v>
      </c>
    </row>
    <row r="6" spans="1:15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  <c r="K6" s="18">
        <f t="shared" ref="K6:K69" si="0">H6*I6</f>
        <v>159560.72</v>
      </c>
    </row>
    <row r="7" spans="1:15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  <c r="K7" s="18">
        <f t="shared" si="0"/>
        <v>84835.26</v>
      </c>
    </row>
    <row r="8" spans="1:15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  <c r="K8" s="18">
        <f t="shared" si="0"/>
        <v>5661.5399999999991</v>
      </c>
    </row>
    <row r="9" spans="1:15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  <c r="K9" s="18">
        <f t="shared" si="0"/>
        <v>185396.88</v>
      </c>
    </row>
    <row r="10" spans="1:15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  <c r="K10" s="18">
        <f t="shared" si="0"/>
        <v>15095.43</v>
      </c>
    </row>
    <row r="11" spans="1:15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  <c r="K11" s="18">
        <f t="shared" si="0"/>
        <v>8322.52</v>
      </c>
    </row>
    <row r="12" spans="1:15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  <c r="K12" s="18">
        <f t="shared" si="0"/>
        <v>89669.7</v>
      </c>
    </row>
    <row r="13" spans="1:15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  <c r="K13" s="18">
        <f t="shared" si="0"/>
        <v>112610.96</v>
      </c>
      <c r="O13" s="6"/>
    </row>
    <row r="14" spans="1:15">
      <c r="A14" s="3" t="s">
        <v>35</v>
      </c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  <c r="K14" s="18">
        <f t="shared" si="0"/>
        <v>135939</v>
      </c>
    </row>
    <row r="15" spans="1:15">
      <c r="A15" s="3" t="s">
        <v>36</v>
      </c>
      <c r="B15" s="3" t="s">
        <v>11</v>
      </c>
      <c r="C15" s="3" t="s">
        <v>26</v>
      </c>
      <c r="D15" s="3" t="s">
        <v>19</v>
      </c>
      <c r="E15" s="3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  <c r="K15" s="18">
        <f t="shared" si="0"/>
        <v>92355</v>
      </c>
    </row>
    <row r="16" spans="1:15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  <c r="K16" s="18">
        <f t="shared" si="0"/>
        <v>116907.05</v>
      </c>
    </row>
    <row r="17" spans="1:11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  <c r="K17" s="18">
        <f t="shared" si="0"/>
        <v>3347.61</v>
      </c>
    </row>
    <row r="18" spans="1:11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  <c r="K18" s="18">
        <f t="shared" si="0"/>
        <v>40676.960000000006</v>
      </c>
    </row>
    <row r="19" spans="1:11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  <c r="K19" s="18">
        <f t="shared" si="0"/>
        <v>10439.17</v>
      </c>
    </row>
    <row r="20" spans="1:11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  <c r="K20" s="18">
        <f t="shared" si="0"/>
        <v>122597.23000000001</v>
      </c>
    </row>
    <row r="21" spans="1:11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  <c r="K21" s="18">
        <f t="shared" si="0"/>
        <v>77654.2</v>
      </c>
    </row>
    <row r="22" spans="1:11">
      <c r="A22" s="3" t="s">
        <v>44</v>
      </c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  <c r="K22" s="18">
        <f t="shared" si="0"/>
        <v>130106.2</v>
      </c>
    </row>
    <row r="23" spans="1:11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  <c r="K23" s="18">
        <f t="shared" si="0"/>
        <v>44814.400000000001</v>
      </c>
    </row>
    <row r="24" spans="1:11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  <c r="K24" s="18">
        <f t="shared" si="0"/>
        <v>30669.210000000003</v>
      </c>
    </row>
    <row r="25" spans="1:11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  <c r="K25" s="18">
        <f t="shared" si="0"/>
        <v>68990.460000000006</v>
      </c>
    </row>
    <row r="26" spans="1:11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  <c r="K26" s="18">
        <f t="shared" si="0"/>
        <v>110073.62000000001</v>
      </c>
    </row>
    <row r="27" spans="1:11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  <c r="K27" s="18">
        <f t="shared" si="0"/>
        <v>17177.32</v>
      </c>
    </row>
    <row r="28" spans="1:11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  <c r="K28" s="18">
        <f t="shared" si="0"/>
        <v>141882</v>
      </c>
    </row>
    <row r="29" spans="1:11">
      <c r="A29" s="3" t="s">
        <v>53</v>
      </c>
      <c r="B29" s="3" t="s">
        <v>17</v>
      </c>
      <c r="C29" s="3" t="s">
        <v>18</v>
      </c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  <c r="K29" s="18">
        <f t="shared" si="0"/>
        <v>40637.1</v>
      </c>
    </row>
    <row r="30" spans="1:11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  <c r="K30" s="18">
        <f t="shared" si="0"/>
        <v>12506.699999999999</v>
      </c>
    </row>
    <row r="31" spans="1:11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  <c r="K31" s="18">
        <f t="shared" si="0"/>
        <v>24913.79</v>
      </c>
    </row>
    <row r="32" spans="1:11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>
        <v>255.4</v>
      </c>
      <c r="J32" s="3">
        <v>383.01</v>
      </c>
      <c r="K32" s="18">
        <f t="shared" si="0"/>
        <v>117994.8</v>
      </c>
    </row>
    <row r="33" spans="1:11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>
        <v>328.37</v>
      </c>
      <c r="J33" s="3">
        <v>230.07</v>
      </c>
      <c r="K33" s="18">
        <f t="shared" si="0"/>
        <v>154333.9</v>
      </c>
    </row>
    <row r="34" spans="1:11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>
        <v>169.5</v>
      </c>
      <c r="J34" s="3">
        <v>373.23</v>
      </c>
      <c r="K34" s="18">
        <f t="shared" si="0"/>
        <v>15255</v>
      </c>
    </row>
    <row r="35" spans="1:11">
      <c r="A35" s="3" t="s">
        <v>59</v>
      </c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>
        <v>273.52999999999997</v>
      </c>
      <c r="J35" s="3">
        <v>230.92</v>
      </c>
      <c r="K35" s="18">
        <f t="shared" si="0"/>
        <v>33644.189999999995</v>
      </c>
    </row>
    <row r="36" spans="1:11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>
        <v>249.17</v>
      </c>
      <c r="J36" s="3">
        <v>192.78</v>
      </c>
      <c r="K36" s="18">
        <f t="shared" si="0"/>
        <v>12209.33</v>
      </c>
    </row>
    <row r="37" spans="1:11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>
        <v>45.36</v>
      </c>
      <c r="J37" s="3">
        <v>126.86</v>
      </c>
      <c r="K37" s="18">
        <f t="shared" si="0"/>
        <v>14061.6</v>
      </c>
    </row>
    <row r="38" spans="1:11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>
        <v>204.61</v>
      </c>
      <c r="J38" s="3">
        <v>243.34</v>
      </c>
      <c r="K38" s="18">
        <f t="shared" si="0"/>
        <v>47674.130000000005</v>
      </c>
    </row>
    <row r="39" spans="1:11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>
        <v>114.18</v>
      </c>
      <c r="J39" s="3">
        <v>57.4</v>
      </c>
      <c r="K39" s="18">
        <f t="shared" si="0"/>
        <v>37336.86</v>
      </c>
    </row>
    <row r="40" spans="1:11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>
        <v>212.11</v>
      </c>
      <c r="J40" s="3">
        <v>359.51</v>
      </c>
      <c r="K40" s="18">
        <f t="shared" si="0"/>
        <v>75935.38</v>
      </c>
    </row>
    <row r="41" spans="1:11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>
        <v>255.4</v>
      </c>
      <c r="J41" s="3">
        <v>332.07</v>
      </c>
      <c r="K41" s="18">
        <f t="shared" si="0"/>
        <v>31669.600000000002</v>
      </c>
    </row>
    <row r="42" spans="1:11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>
        <v>421.02</v>
      </c>
      <c r="J42" s="3">
        <v>128.38</v>
      </c>
      <c r="K42" s="18">
        <f t="shared" si="0"/>
        <v>82098.899999999994</v>
      </c>
    </row>
    <row r="43" spans="1:11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>
        <v>248.5</v>
      </c>
      <c r="I43">
        <v>91.23</v>
      </c>
      <c r="J43" s="3">
        <v>381.21</v>
      </c>
      <c r="K43" s="18">
        <f t="shared" si="0"/>
        <v>22670.655000000002</v>
      </c>
    </row>
    <row r="44" spans="1:11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>
        <v>65</v>
      </c>
      <c r="I44">
        <v>480.59</v>
      </c>
      <c r="J44" s="3">
        <v>330.43</v>
      </c>
      <c r="K44" s="18">
        <f t="shared" si="0"/>
        <v>31238.35</v>
      </c>
    </row>
    <row r="45" spans="1:11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>
        <v>49</v>
      </c>
      <c r="I45">
        <v>210.87</v>
      </c>
      <c r="J45" s="3">
        <v>267.19</v>
      </c>
      <c r="K45" s="18">
        <f t="shared" si="0"/>
        <v>10332.630000000001</v>
      </c>
    </row>
    <row r="46" spans="1:11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>
        <v>363</v>
      </c>
      <c r="I46">
        <v>423.89</v>
      </c>
      <c r="J46" s="3">
        <v>50.46</v>
      </c>
      <c r="K46" s="18">
        <f t="shared" si="0"/>
        <v>153872.07</v>
      </c>
    </row>
    <row r="47" spans="1:11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>
        <v>49</v>
      </c>
      <c r="I47">
        <v>316.24</v>
      </c>
      <c r="J47" s="3">
        <v>192.34</v>
      </c>
      <c r="K47" s="18">
        <f t="shared" si="0"/>
        <v>15495.76</v>
      </c>
    </row>
    <row r="48" spans="1:11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>
        <v>356</v>
      </c>
      <c r="I48">
        <v>369</v>
      </c>
      <c r="J48" s="3">
        <v>203.43</v>
      </c>
      <c r="K48" s="18">
        <f t="shared" si="0"/>
        <v>131364</v>
      </c>
    </row>
    <row r="49" spans="1:11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>
        <v>470</v>
      </c>
      <c r="I49">
        <v>255.4</v>
      </c>
      <c r="J49" s="3">
        <v>94.56</v>
      </c>
      <c r="K49" s="18">
        <f t="shared" si="0"/>
        <v>120038</v>
      </c>
    </row>
    <row r="50" spans="1:11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>
        <v>246</v>
      </c>
      <c r="I50">
        <v>254.9</v>
      </c>
      <c r="J50" s="3">
        <v>33.83</v>
      </c>
      <c r="K50" s="18">
        <f t="shared" si="0"/>
        <v>62705.4</v>
      </c>
    </row>
    <row r="51" spans="1:11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>
        <v>298</v>
      </c>
      <c r="I51">
        <v>273.93</v>
      </c>
      <c r="J51" s="3">
        <v>311.14</v>
      </c>
      <c r="K51" s="18">
        <f t="shared" si="0"/>
        <v>81631.14</v>
      </c>
    </row>
    <row r="52" spans="1:11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>
        <v>271</v>
      </c>
      <c r="I52">
        <v>259.43</v>
      </c>
      <c r="J52" s="3">
        <v>50.57</v>
      </c>
      <c r="K52" s="18">
        <f t="shared" si="0"/>
        <v>70305.53</v>
      </c>
    </row>
    <row r="53" spans="1:11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>
        <v>225</v>
      </c>
      <c r="I53">
        <v>296.08999999999997</v>
      </c>
      <c r="J53" s="3">
        <v>238.53</v>
      </c>
      <c r="K53" s="18">
        <f t="shared" si="0"/>
        <v>66620.25</v>
      </c>
    </row>
    <row r="54" spans="1:11">
      <c r="A54" s="3" t="s">
        <v>78</v>
      </c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>
        <v>156</v>
      </c>
      <c r="I54">
        <v>19.55</v>
      </c>
      <c r="J54" s="3">
        <v>374.71</v>
      </c>
      <c r="K54" s="18">
        <f t="shared" si="0"/>
        <v>3049.8</v>
      </c>
    </row>
    <row r="55" spans="1:11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>
        <v>345</v>
      </c>
      <c r="I55">
        <v>200.78</v>
      </c>
      <c r="J55" s="3">
        <v>350.69</v>
      </c>
      <c r="K55" s="18">
        <f t="shared" si="0"/>
        <v>69269.100000000006</v>
      </c>
    </row>
    <row r="56" spans="1:11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>
        <v>177</v>
      </c>
      <c r="I56">
        <v>305.06</v>
      </c>
      <c r="J56" s="3">
        <v>112.55</v>
      </c>
      <c r="K56" s="18">
        <f t="shared" si="0"/>
        <v>53995.62</v>
      </c>
    </row>
    <row r="57" spans="1:11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>
        <v>101</v>
      </c>
      <c r="I57">
        <v>300.87</v>
      </c>
      <c r="J57" s="3">
        <v>340.88</v>
      </c>
      <c r="K57" s="18">
        <f t="shared" si="0"/>
        <v>30387.87</v>
      </c>
    </row>
    <row r="58" spans="1:11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>
        <v>362</v>
      </c>
      <c r="I58">
        <v>397.51</v>
      </c>
      <c r="J58" s="3">
        <v>2.13</v>
      </c>
      <c r="K58" s="18">
        <f t="shared" si="0"/>
        <v>143898.62</v>
      </c>
    </row>
    <row r="59" spans="1:11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>
        <v>68</v>
      </c>
      <c r="I59">
        <v>329.23</v>
      </c>
      <c r="J59" s="3">
        <v>9.0399999999999991</v>
      </c>
      <c r="K59" s="18">
        <f t="shared" si="0"/>
        <v>22387.64</v>
      </c>
    </row>
    <row r="60" spans="1:11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>
        <v>68</v>
      </c>
      <c r="I60">
        <v>496.11</v>
      </c>
      <c r="J60" s="3">
        <v>241.82</v>
      </c>
      <c r="K60" s="18">
        <f t="shared" si="0"/>
        <v>33735.480000000003</v>
      </c>
    </row>
    <row r="61" spans="1:11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>
        <v>313</v>
      </c>
      <c r="I61">
        <v>145.51</v>
      </c>
      <c r="J61" s="3">
        <v>147.19</v>
      </c>
      <c r="K61" s="18">
        <f t="shared" si="0"/>
        <v>45544.63</v>
      </c>
    </row>
    <row r="62" spans="1:11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>
        <v>178</v>
      </c>
      <c r="I62">
        <v>182.78</v>
      </c>
      <c r="J62" s="3">
        <v>155.81</v>
      </c>
      <c r="K62" s="18">
        <f t="shared" si="0"/>
        <v>32534.84</v>
      </c>
    </row>
    <row r="63" spans="1:11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>
        <v>278</v>
      </c>
      <c r="I63">
        <v>195</v>
      </c>
      <c r="J63" s="3">
        <v>226.65</v>
      </c>
      <c r="K63" s="18">
        <f t="shared" si="0"/>
        <v>54210</v>
      </c>
    </row>
    <row r="64" spans="1:11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>
        <v>372</v>
      </c>
      <c r="I64">
        <v>235.58</v>
      </c>
      <c r="J64" s="3">
        <v>78.33</v>
      </c>
      <c r="K64" s="18">
        <f t="shared" si="0"/>
        <v>87635.760000000009</v>
      </c>
    </row>
    <row r="65" spans="1:11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>
        <v>54</v>
      </c>
      <c r="I65">
        <v>418.82</v>
      </c>
      <c r="J65" s="3">
        <v>86.28</v>
      </c>
      <c r="K65" s="18">
        <f t="shared" si="0"/>
        <v>22616.28</v>
      </c>
    </row>
    <row r="66" spans="1:11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>
        <v>354</v>
      </c>
      <c r="I66">
        <v>121.72</v>
      </c>
      <c r="J66" s="3">
        <v>194.87</v>
      </c>
      <c r="K66" s="18">
        <f t="shared" si="0"/>
        <v>43088.88</v>
      </c>
    </row>
    <row r="67" spans="1:11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>
        <v>190</v>
      </c>
      <c r="I67">
        <v>389.12</v>
      </c>
      <c r="J67" s="3">
        <v>302.19</v>
      </c>
      <c r="K67" s="18">
        <f t="shared" si="0"/>
        <v>73932.800000000003</v>
      </c>
    </row>
    <row r="68" spans="1:11">
      <c r="A68" s="3" t="s">
        <v>92</v>
      </c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>
        <v>179</v>
      </c>
      <c r="I68">
        <v>205.63</v>
      </c>
      <c r="J68" s="3">
        <v>248.56</v>
      </c>
      <c r="K68" s="18">
        <f t="shared" si="0"/>
        <v>36807.769999999997</v>
      </c>
    </row>
    <row r="69" spans="1:11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>
        <v>365</v>
      </c>
      <c r="I69">
        <v>302.92</v>
      </c>
      <c r="J69" s="3">
        <v>120.35</v>
      </c>
      <c r="K69" s="18">
        <f t="shared" si="0"/>
        <v>110565.8</v>
      </c>
    </row>
    <row r="70" spans="1:11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>
        <v>200</v>
      </c>
      <c r="I70">
        <v>318.11</v>
      </c>
      <c r="J70" s="3">
        <v>173.27</v>
      </c>
      <c r="K70" s="18">
        <f t="shared" ref="K70:K133" si="1">H70*I70</f>
        <v>63622</v>
      </c>
    </row>
    <row r="71" spans="1:11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>
        <v>164</v>
      </c>
      <c r="I71">
        <v>189.56</v>
      </c>
      <c r="J71" s="3">
        <v>69.92</v>
      </c>
      <c r="K71" s="18">
        <f t="shared" si="1"/>
        <v>31087.84</v>
      </c>
    </row>
    <row r="72" spans="1:11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>
        <v>431</v>
      </c>
      <c r="I72">
        <v>258.74</v>
      </c>
      <c r="J72" s="3">
        <v>31.7</v>
      </c>
      <c r="K72" s="18">
        <f t="shared" si="1"/>
        <v>111516.94</v>
      </c>
    </row>
    <row r="73" spans="1:11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>
        <v>197</v>
      </c>
      <c r="I73">
        <v>209.45</v>
      </c>
      <c r="J73" s="3">
        <v>313.51</v>
      </c>
      <c r="K73" s="18">
        <f t="shared" si="1"/>
        <v>41261.649999999994</v>
      </c>
    </row>
    <row r="74" spans="1:11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>
        <v>16</v>
      </c>
      <c r="I74">
        <v>39.22</v>
      </c>
      <c r="J74" s="3">
        <v>107.62</v>
      </c>
      <c r="K74" s="18">
        <f t="shared" si="1"/>
        <v>627.52</v>
      </c>
    </row>
    <row r="75" spans="1:11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>
        <v>142</v>
      </c>
      <c r="I75">
        <v>221.4</v>
      </c>
      <c r="J75" s="3">
        <v>72.75</v>
      </c>
      <c r="K75" s="18">
        <f t="shared" si="1"/>
        <v>31438.799999999999</v>
      </c>
    </row>
    <row r="76" spans="1:11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>
        <v>244</v>
      </c>
      <c r="I76">
        <v>53.21</v>
      </c>
      <c r="J76" s="3">
        <v>277.26</v>
      </c>
      <c r="K76" s="18">
        <f t="shared" si="1"/>
        <v>12983.24</v>
      </c>
    </row>
    <row r="77" spans="1:11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>
        <v>54</v>
      </c>
      <c r="I77">
        <v>205.49</v>
      </c>
      <c r="J77" s="3">
        <v>247.98</v>
      </c>
      <c r="K77" s="18">
        <f t="shared" si="1"/>
        <v>11096.460000000001</v>
      </c>
    </row>
    <row r="78" spans="1:11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>
        <v>323</v>
      </c>
      <c r="I78">
        <v>298.49</v>
      </c>
      <c r="J78" s="3">
        <v>254.01</v>
      </c>
      <c r="K78" s="18">
        <f t="shared" si="1"/>
        <v>96412.27</v>
      </c>
    </row>
    <row r="79" spans="1:11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>
        <v>258</v>
      </c>
      <c r="I79">
        <v>291.81</v>
      </c>
      <c r="J79" s="3">
        <v>93.1</v>
      </c>
      <c r="K79" s="18">
        <f t="shared" si="1"/>
        <v>75286.98</v>
      </c>
    </row>
    <row r="80" spans="1:11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>
        <v>40</v>
      </c>
      <c r="I80">
        <v>333</v>
      </c>
      <c r="J80" s="3">
        <v>94.59</v>
      </c>
      <c r="K80" s="18">
        <f t="shared" si="1"/>
        <v>13320</v>
      </c>
    </row>
    <row r="81" spans="1:11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>
        <v>32</v>
      </c>
      <c r="I81">
        <v>52.15</v>
      </c>
      <c r="J81" s="3">
        <v>89.88</v>
      </c>
      <c r="K81" s="18">
        <f t="shared" si="1"/>
        <v>1668.8</v>
      </c>
    </row>
    <row r="82" spans="1:11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>
        <v>435</v>
      </c>
      <c r="I82">
        <v>327.8</v>
      </c>
      <c r="J82" s="3">
        <v>71.150000000000006</v>
      </c>
      <c r="K82" s="18">
        <f t="shared" si="1"/>
        <v>142593</v>
      </c>
    </row>
    <row r="83" spans="1:11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>
        <v>403</v>
      </c>
      <c r="I83">
        <v>159.51</v>
      </c>
      <c r="J83" s="3">
        <v>262.98</v>
      </c>
      <c r="K83" s="18">
        <f t="shared" si="1"/>
        <v>64282.53</v>
      </c>
    </row>
    <row r="84" spans="1:11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>
        <v>169</v>
      </c>
      <c r="I84">
        <v>255.4</v>
      </c>
      <c r="J84" s="3">
        <v>339.51</v>
      </c>
      <c r="K84" s="18">
        <f t="shared" si="1"/>
        <v>43162.6</v>
      </c>
    </row>
    <row r="85" spans="1:11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>
        <v>372</v>
      </c>
      <c r="I85">
        <v>429.7</v>
      </c>
      <c r="J85" s="3">
        <v>290.27999999999997</v>
      </c>
      <c r="K85" s="18">
        <f t="shared" si="1"/>
        <v>159848.4</v>
      </c>
    </row>
    <row r="86" spans="1:11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>
        <v>446</v>
      </c>
      <c r="I86">
        <v>9.4700000000000006</v>
      </c>
      <c r="J86" s="3">
        <v>317.25</v>
      </c>
      <c r="K86" s="18">
        <f t="shared" si="1"/>
        <v>4223.62</v>
      </c>
    </row>
    <row r="87" spans="1:11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>
        <v>167</v>
      </c>
      <c r="I87">
        <v>296.26</v>
      </c>
      <c r="J87" s="3">
        <v>163.11000000000001</v>
      </c>
      <c r="K87" s="18">
        <f t="shared" si="1"/>
        <v>49475.42</v>
      </c>
    </row>
    <row r="88" spans="1:11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>
        <v>48</v>
      </c>
      <c r="I88">
        <v>301.36</v>
      </c>
      <c r="J88" s="3">
        <v>262.32</v>
      </c>
      <c r="K88" s="18">
        <f t="shared" si="1"/>
        <v>14465.28</v>
      </c>
    </row>
    <row r="89" spans="1:11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>
        <v>424</v>
      </c>
      <c r="I89">
        <v>201.35</v>
      </c>
      <c r="J89" s="3">
        <v>142.99</v>
      </c>
      <c r="K89" s="18">
        <f t="shared" si="1"/>
        <v>85372.4</v>
      </c>
    </row>
    <row r="90" spans="1:11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>
        <v>91</v>
      </c>
      <c r="I90">
        <v>122.33</v>
      </c>
      <c r="J90" s="3">
        <v>211.15</v>
      </c>
      <c r="K90" s="18">
        <f t="shared" si="1"/>
        <v>11132.03</v>
      </c>
    </row>
    <row r="91" spans="1:11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>
        <v>365</v>
      </c>
      <c r="I91">
        <v>121.16</v>
      </c>
      <c r="J91" s="3">
        <v>193.69</v>
      </c>
      <c r="K91" s="18">
        <f t="shared" si="1"/>
        <v>44223.4</v>
      </c>
    </row>
    <row r="92" spans="1:11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>
        <v>267</v>
      </c>
      <c r="I92">
        <v>442.44</v>
      </c>
      <c r="J92" s="3">
        <v>72.400000000000006</v>
      </c>
      <c r="K92" s="18">
        <f t="shared" si="1"/>
        <v>118131.48</v>
      </c>
    </row>
    <row r="93" spans="1:11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>
        <v>215</v>
      </c>
      <c r="I93">
        <v>223.8</v>
      </c>
      <c r="J93" s="3">
        <v>156.06</v>
      </c>
      <c r="K93" s="18">
        <f t="shared" si="1"/>
        <v>48117</v>
      </c>
    </row>
    <row r="94" spans="1:11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>
        <v>86</v>
      </c>
      <c r="I94">
        <v>168.79</v>
      </c>
      <c r="J94" s="3">
        <v>385.6</v>
      </c>
      <c r="K94" s="18">
        <f t="shared" si="1"/>
        <v>14515.939999999999</v>
      </c>
    </row>
    <row r="95" spans="1:11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>
        <v>486</v>
      </c>
      <c r="I95">
        <v>227.14</v>
      </c>
      <c r="J95" s="3">
        <v>100.93</v>
      </c>
      <c r="K95" s="18">
        <f t="shared" si="1"/>
        <v>110390.04</v>
      </c>
    </row>
    <row r="96" spans="1:11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>
        <v>21</v>
      </c>
      <c r="I96">
        <v>255.4</v>
      </c>
      <c r="J96" s="3">
        <v>55.25</v>
      </c>
      <c r="K96" s="18">
        <f t="shared" si="1"/>
        <v>5363.4000000000005</v>
      </c>
    </row>
    <row r="97" spans="1:11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>
        <v>304</v>
      </c>
      <c r="I97">
        <v>77.150000000000006</v>
      </c>
      <c r="J97" s="3">
        <v>168.6</v>
      </c>
      <c r="K97" s="18">
        <f t="shared" si="1"/>
        <v>23453.600000000002</v>
      </c>
    </row>
    <row r="98" spans="1:11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>
        <v>459</v>
      </c>
      <c r="I98">
        <v>227.47</v>
      </c>
      <c r="J98" s="3">
        <v>316.55</v>
      </c>
      <c r="K98" s="18">
        <f t="shared" si="1"/>
        <v>104408.73</v>
      </c>
    </row>
    <row r="99" spans="1:11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>
        <v>233</v>
      </c>
      <c r="I99">
        <v>296</v>
      </c>
      <c r="J99" s="3">
        <v>233.69</v>
      </c>
      <c r="K99" s="18">
        <f t="shared" si="1"/>
        <v>68968</v>
      </c>
    </row>
    <row r="100" spans="1:11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>
        <v>22</v>
      </c>
      <c r="I100">
        <v>474.55</v>
      </c>
      <c r="J100" s="3">
        <v>273.02999999999997</v>
      </c>
      <c r="K100" s="18">
        <f t="shared" si="1"/>
        <v>10440.1</v>
      </c>
    </row>
    <row r="101" spans="1:11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>
        <v>55</v>
      </c>
      <c r="I101">
        <v>130</v>
      </c>
      <c r="J101" s="3">
        <v>77.5</v>
      </c>
      <c r="K101" s="18">
        <f t="shared" si="1"/>
        <v>7150</v>
      </c>
    </row>
    <row r="102" spans="1:11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>
        <v>164</v>
      </c>
      <c r="I102">
        <v>182.83</v>
      </c>
      <c r="J102" s="3">
        <v>248.34</v>
      </c>
      <c r="K102" s="18">
        <f t="shared" si="1"/>
        <v>29984.120000000003</v>
      </c>
    </row>
    <row r="103" spans="1:11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>
        <v>122</v>
      </c>
      <c r="I103">
        <v>192.78</v>
      </c>
      <c r="J103" s="3">
        <v>130.75</v>
      </c>
      <c r="K103" s="18">
        <f t="shared" si="1"/>
        <v>23519.16</v>
      </c>
    </row>
    <row r="104" spans="1:11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>
        <v>242</v>
      </c>
      <c r="I104">
        <v>304.74</v>
      </c>
      <c r="J104" s="3">
        <v>334.05</v>
      </c>
      <c r="K104" s="18">
        <f t="shared" si="1"/>
        <v>73747.08</v>
      </c>
    </row>
    <row r="105" spans="1:11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>
        <v>26</v>
      </c>
      <c r="I105">
        <v>181.58</v>
      </c>
      <c r="J105" s="3">
        <v>252.46</v>
      </c>
      <c r="K105" s="18">
        <f t="shared" si="1"/>
        <v>4721.08</v>
      </c>
    </row>
    <row r="106" spans="1:11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>
        <v>369</v>
      </c>
      <c r="I106">
        <v>269.08999999999997</v>
      </c>
      <c r="J106" s="3">
        <v>81.14</v>
      </c>
      <c r="K106" s="18">
        <f t="shared" si="1"/>
        <v>99294.209999999992</v>
      </c>
    </row>
    <row r="107" spans="1:11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>
        <v>232</v>
      </c>
      <c r="I107">
        <v>391.99</v>
      </c>
      <c r="J107" s="3">
        <v>27.72</v>
      </c>
      <c r="K107" s="18">
        <f t="shared" si="1"/>
        <v>90941.680000000008</v>
      </c>
    </row>
    <row r="108" spans="1:11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>
        <v>363</v>
      </c>
      <c r="I108">
        <v>354.17</v>
      </c>
      <c r="J108" s="3">
        <v>18.97</v>
      </c>
      <c r="K108" s="18">
        <f t="shared" si="1"/>
        <v>128563.71</v>
      </c>
    </row>
    <row r="109" spans="1:11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>
        <v>197</v>
      </c>
      <c r="I109">
        <v>225.95</v>
      </c>
      <c r="J109" s="3">
        <v>149.82</v>
      </c>
      <c r="K109" s="18">
        <f t="shared" si="1"/>
        <v>44512.149999999994</v>
      </c>
    </row>
    <row r="110" spans="1:11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>
        <v>457</v>
      </c>
      <c r="I110">
        <v>432.79</v>
      </c>
      <c r="J110" s="3">
        <v>107.81</v>
      </c>
      <c r="K110" s="18">
        <f t="shared" si="1"/>
        <v>197785.03</v>
      </c>
    </row>
    <row r="111" spans="1:11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>
        <v>353</v>
      </c>
      <c r="I111">
        <v>281.27999999999997</v>
      </c>
      <c r="J111" s="3">
        <v>259.14</v>
      </c>
      <c r="K111" s="18">
        <f t="shared" si="1"/>
        <v>99291.839999999997</v>
      </c>
    </row>
    <row r="112" spans="1:11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>
        <v>374</v>
      </c>
      <c r="I112">
        <v>272.25</v>
      </c>
      <c r="J112" s="3">
        <v>200.73</v>
      </c>
      <c r="K112" s="18">
        <f t="shared" si="1"/>
        <v>101821.5</v>
      </c>
    </row>
    <row r="113" spans="1:11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>
        <v>172</v>
      </c>
      <c r="I113">
        <v>21.92</v>
      </c>
      <c r="J113" s="3">
        <v>107.88</v>
      </c>
      <c r="K113" s="18">
        <f t="shared" si="1"/>
        <v>3770.2400000000002</v>
      </c>
    </row>
    <row r="114" spans="1:11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>
        <v>335</v>
      </c>
      <c r="I114">
        <v>493.41</v>
      </c>
      <c r="J114" s="3">
        <v>61.4</v>
      </c>
      <c r="K114" s="18">
        <f t="shared" si="1"/>
        <v>165292.35</v>
      </c>
    </row>
    <row r="115" spans="1:11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>
        <v>476</v>
      </c>
      <c r="I115">
        <v>65.87</v>
      </c>
      <c r="J115" s="3">
        <v>52.63</v>
      </c>
      <c r="K115" s="18">
        <f t="shared" si="1"/>
        <v>31354.120000000003</v>
      </c>
    </row>
    <row r="116" spans="1:11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>
        <v>423</v>
      </c>
      <c r="I116">
        <v>119.41</v>
      </c>
      <c r="J116" s="3">
        <v>346.13</v>
      </c>
      <c r="K116" s="18">
        <f t="shared" si="1"/>
        <v>50510.43</v>
      </c>
    </row>
    <row r="117" spans="1:11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>
        <v>464</v>
      </c>
      <c r="I117">
        <v>30.59</v>
      </c>
      <c r="J117" s="3">
        <v>98.9</v>
      </c>
      <c r="K117" s="18">
        <f t="shared" si="1"/>
        <v>14193.76</v>
      </c>
    </row>
    <row r="118" spans="1:11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>
        <v>83</v>
      </c>
      <c r="I118">
        <v>321.8</v>
      </c>
      <c r="J118" s="3">
        <v>261.38</v>
      </c>
      <c r="K118" s="18">
        <f t="shared" si="1"/>
        <v>26709.4</v>
      </c>
    </row>
    <row r="119" spans="1:11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>
        <v>242</v>
      </c>
      <c r="I119">
        <v>116.23</v>
      </c>
      <c r="J119" s="3">
        <v>324.64999999999998</v>
      </c>
      <c r="K119" s="18">
        <f t="shared" si="1"/>
        <v>28127.66</v>
      </c>
    </row>
    <row r="120" spans="1:11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>
        <v>233</v>
      </c>
      <c r="I120">
        <v>94.11</v>
      </c>
      <c r="J120" s="3">
        <v>246.4</v>
      </c>
      <c r="K120" s="18">
        <f t="shared" si="1"/>
        <v>21927.63</v>
      </c>
    </row>
    <row r="121" spans="1:11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>
        <v>491</v>
      </c>
      <c r="I121">
        <v>48.84</v>
      </c>
      <c r="J121" s="3">
        <v>344.11</v>
      </c>
      <c r="K121" s="18">
        <f t="shared" si="1"/>
        <v>23980.440000000002</v>
      </c>
    </row>
    <row r="122" spans="1:11">
      <c r="A122" s="3" t="s">
        <v>146</v>
      </c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>
        <v>328</v>
      </c>
      <c r="I122">
        <v>56.14</v>
      </c>
      <c r="J122" s="3">
        <v>158.16999999999999</v>
      </c>
      <c r="K122" s="18">
        <f t="shared" si="1"/>
        <v>18413.920000000002</v>
      </c>
    </row>
    <row r="123" spans="1:11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>
        <v>421</v>
      </c>
      <c r="I123">
        <v>294.41000000000003</v>
      </c>
      <c r="J123" s="3">
        <v>382.58</v>
      </c>
      <c r="K123" s="18">
        <f t="shared" si="1"/>
        <v>123946.61000000002</v>
      </c>
    </row>
    <row r="124" spans="1:11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>
        <v>69</v>
      </c>
      <c r="I124">
        <v>345.66</v>
      </c>
      <c r="J124" s="3">
        <v>54.99</v>
      </c>
      <c r="K124" s="18">
        <f t="shared" si="1"/>
        <v>23850.54</v>
      </c>
    </row>
    <row r="125" spans="1:11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>
        <v>344</v>
      </c>
      <c r="I125">
        <v>201.7</v>
      </c>
      <c r="J125" s="3">
        <v>42.66</v>
      </c>
      <c r="K125" s="18">
        <f t="shared" si="1"/>
        <v>69384.800000000003</v>
      </c>
    </row>
    <row r="126" spans="1:11">
      <c r="A126" s="3" t="s">
        <v>150</v>
      </c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>
        <v>231</v>
      </c>
      <c r="I126">
        <v>242.55</v>
      </c>
      <c r="J126" s="3">
        <v>264.16000000000003</v>
      </c>
      <c r="K126" s="18">
        <f t="shared" si="1"/>
        <v>56029.05</v>
      </c>
    </row>
    <row r="127" spans="1:11">
      <c r="A127" s="3" t="s">
        <v>151</v>
      </c>
      <c r="B127" s="3" t="s">
        <v>48</v>
      </c>
      <c r="C127" s="3" t="s">
        <v>12</v>
      </c>
      <c r="D127" s="3" t="s">
        <v>23</v>
      </c>
      <c r="E127" s="3" t="s">
        <v>14</v>
      </c>
      <c r="F127" s="3" t="s">
        <v>20</v>
      </c>
      <c r="G127" s="4">
        <v>45049</v>
      </c>
      <c r="H127">
        <v>46</v>
      </c>
      <c r="I127">
        <v>344.55</v>
      </c>
      <c r="J127" s="3">
        <v>377.25</v>
      </c>
      <c r="K127" s="18">
        <f t="shared" si="1"/>
        <v>15849.300000000001</v>
      </c>
    </row>
    <row r="128" spans="1:11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>
        <v>486</v>
      </c>
      <c r="I128">
        <v>13.6</v>
      </c>
      <c r="J128" s="3">
        <v>323.94</v>
      </c>
      <c r="K128" s="18">
        <f t="shared" si="1"/>
        <v>6609.5999999999995</v>
      </c>
    </row>
    <row r="129" spans="1:11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>
        <v>287</v>
      </c>
      <c r="I129">
        <v>164.95</v>
      </c>
      <c r="J129" s="3">
        <v>32.409999999999997</v>
      </c>
      <c r="K129" s="18">
        <f t="shared" si="1"/>
        <v>47340.649999999994</v>
      </c>
    </row>
    <row r="130" spans="1:11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>
        <v>205</v>
      </c>
      <c r="I130">
        <v>486.68</v>
      </c>
      <c r="J130" s="3">
        <v>113.19</v>
      </c>
      <c r="K130" s="18">
        <f t="shared" si="1"/>
        <v>99769.4</v>
      </c>
    </row>
    <row r="131" spans="1:11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>
        <v>413</v>
      </c>
      <c r="I131">
        <v>292.16000000000003</v>
      </c>
      <c r="J131" s="3">
        <v>372.27</v>
      </c>
      <c r="K131" s="18">
        <f t="shared" si="1"/>
        <v>120662.08000000002</v>
      </c>
    </row>
    <row r="132" spans="1:11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>
        <v>361</v>
      </c>
      <c r="I132">
        <v>130.84</v>
      </c>
      <c r="J132" s="3">
        <v>102.72</v>
      </c>
      <c r="K132" s="18">
        <f t="shared" si="1"/>
        <v>47233.24</v>
      </c>
    </row>
    <row r="133" spans="1:11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>
        <v>493</v>
      </c>
      <c r="I133">
        <v>263.26</v>
      </c>
      <c r="J133" s="3">
        <v>312.91000000000003</v>
      </c>
      <c r="K133" s="18">
        <f t="shared" si="1"/>
        <v>129787.18</v>
      </c>
    </row>
    <row r="134" spans="1:11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>
        <v>251</v>
      </c>
      <c r="I134">
        <v>174.61</v>
      </c>
      <c r="J134" s="3">
        <v>330.4</v>
      </c>
      <c r="K134" s="18">
        <f t="shared" ref="K134:K197" si="2">H134*I134</f>
        <v>43827.11</v>
      </c>
    </row>
    <row r="135" spans="1:11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>
        <v>248.5</v>
      </c>
      <c r="I135">
        <v>268.45999999999998</v>
      </c>
      <c r="J135" s="3">
        <v>199.19</v>
      </c>
      <c r="K135" s="18">
        <f t="shared" si="2"/>
        <v>66712.31</v>
      </c>
    </row>
    <row r="136" spans="1:11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>
        <v>228</v>
      </c>
      <c r="I136">
        <v>67.239999999999995</v>
      </c>
      <c r="J136" s="3">
        <v>155.77000000000001</v>
      </c>
      <c r="K136" s="18">
        <f t="shared" si="2"/>
        <v>15330.72</v>
      </c>
    </row>
    <row r="137" spans="1:11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>
        <v>201</v>
      </c>
      <c r="I137">
        <v>70.69</v>
      </c>
      <c r="J137" s="3">
        <v>181.15</v>
      </c>
      <c r="K137" s="18">
        <f t="shared" si="2"/>
        <v>14208.689999999999</v>
      </c>
    </row>
    <row r="138" spans="1:11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>
        <v>26</v>
      </c>
      <c r="I138">
        <v>76.05</v>
      </c>
      <c r="J138" s="3">
        <v>92.33</v>
      </c>
      <c r="K138" s="18">
        <f t="shared" si="2"/>
        <v>1977.3</v>
      </c>
    </row>
    <row r="139" spans="1:11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>
        <v>21</v>
      </c>
      <c r="I139">
        <v>470.21</v>
      </c>
      <c r="J139" s="3">
        <v>355.98</v>
      </c>
      <c r="K139" s="18">
        <f t="shared" si="2"/>
        <v>9874.41</v>
      </c>
    </row>
    <row r="140" spans="1:11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>
        <v>415</v>
      </c>
      <c r="I140">
        <v>367.78</v>
      </c>
      <c r="J140" s="3">
        <v>181.35</v>
      </c>
      <c r="K140" s="18">
        <f t="shared" si="2"/>
        <v>152628.69999999998</v>
      </c>
    </row>
    <row r="141" spans="1:11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>
        <v>410</v>
      </c>
      <c r="I141">
        <v>85.38</v>
      </c>
      <c r="J141" s="3">
        <v>353.22</v>
      </c>
      <c r="K141" s="18">
        <f t="shared" si="2"/>
        <v>35005.799999999996</v>
      </c>
    </row>
    <row r="142" spans="1:11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>
        <v>403</v>
      </c>
      <c r="I142">
        <v>98.23</v>
      </c>
      <c r="J142" s="3">
        <v>44.07</v>
      </c>
      <c r="K142" s="18">
        <f t="shared" si="2"/>
        <v>39586.69</v>
      </c>
    </row>
    <row r="143" spans="1:11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>
        <v>383</v>
      </c>
      <c r="I143">
        <v>366.76</v>
      </c>
      <c r="J143" s="3">
        <v>395.33</v>
      </c>
      <c r="K143" s="18">
        <f t="shared" si="2"/>
        <v>140469.07999999999</v>
      </c>
    </row>
    <row r="144" spans="1:11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>
        <v>202</v>
      </c>
      <c r="I144">
        <v>82.3</v>
      </c>
      <c r="J144" s="3">
        <v>178.42</v>
      </c>
      <c r="K144" s="18">
        <f t="shared" si="2"/>
        <v>16624.599999999999</v>
      </c>
    </row>
    <row r="145" spans="1:11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>
        <v>31</v>
      </c>
      <c r="I145">
        <v>121.11</v>
      </c>
      <c r="J145" s="3">
        <v>21.04</v>
      </c>
      <c r="K145" s="18">
        <f t="shared" si="2"/>
        <v>3754.41</v>
      </c>
    </row>
    <row r="146" spans="1:11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>
        <v>483</v>
      </c>
      <c r="I146">
        <v>481.86</v>
      </c>
      <c r="J146" s="3">
        <v>17.13</v>
      </c>
      <c r="K146" s="18">
        <f t="shared" si="2"/>
        <v>232738.38</v>
      </c>
    </row>
    <row r="147" spans="1:11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>
        <v>129</v>
      </c>
      <c r="I147">
        <v>131.38</v>
      </c>
      <c r="J147" s="3">
        <v>298.99</v>
      </c>
      <c r="K147" s="18">
        <f t="shared" si="2"/>
        <v>16948.02</v>
      </c>
    </row>
    <row r="148" spans="1:11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>
        <v>219</v>
      </c>
      <c r="I148">
        <v>332.51</v>
      </c>
      <c r="J148" s="3">
        <v>264.3</v>
      </c>
      <c r="K148" s="18">
        <f t="shared" si="2"/>
        <v>72819.69</v>
      </c>
    </row>
    <row r="149" spans="1:11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>
        <v>315</v>
      </c>
      <c r="I149">
        <v>489.42</v>
      </c>
      <c r="J149" s="3">
        <v>321.25</v>
      </c>
      <c r="K149" s="18">
        <f t="shared" si="2"/>
        <v>154167.30000000002</v>
      </c>
    </row>
    <row r="150" spans="1:11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>
        <v>279</v>
      </c>
      <c r="I150">
        <v>190.28</v>
      </c>
      <c r="J150" s="3">
        <v>43.94</v>
      </c>
      <c r="K150" s="18">
        <f t="shared" si="2"/>
        <v>53088.12</v>
      </c>
    </row>
    <row r="151" spans="1:11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>
        <v>201</v>
      </c>
      <c r="I151">
        <v>13.67</v>
      </c>
      <c r="J151" s="3">
        <v>16.16</v>
      </c>
      <c r="K151" s="18">
        <f t="shared" si="2"/>
        <v>2747.67</v>
      </c>
    </row>
    <row r="152" spans="1:11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>
        <v>184</v>
      </c>
      <c r="I152">
        <v>125.85</v>
      </c>
      <c r="J152" s="3">
        <v>204.41</v>
      </c>
      <c r="K152" s="18">
        <f t="shared" si="2"/>
        <v>23156.399999999998</v>
      </c>
    </row>
    <row r="153" spans="1:11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>
        <v>294</v>
      </c>
      <c r="I153">
        <v>416.28</v>
      </c>
      <c r="J153" s="3">
        <v>156.26</v>
      </c>
      <c r="K153" s="18">
        <f t="shared" si="2"/>
        <v>122386.31999999999</v>
      </c>
    </row>
    <row r="154" spans="1:11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>
        <v>213</v>
      </c>
      <c r="I154">
        <v>432.98</v>
      </c>
      <c r="J154" s="3">
        <v>185.85</v>
      </c>
      <c r="K154" s="18">
        <f t="shared" si="2"/>
        <v>92224.74</v>
      </c>
    </row>
    <row r="155" spans="1:11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>
        <v>173</v>
      </c>
      <c r="I155">
        <v>385.42</v>
      </c>
      <c r="J155" s="3">
        <v>396.65</v>
      </c>
      <c r="K155" s="18">
        <f t="shared" si="2"/>
        <v>66677.66</v>
      </c>
    </row>
    <row r="156" spans="1:11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>
        <v>260</v>
      </c>
      <c r="I156">
        <v>60.99</v>
      </c>
      <c r="J156" s="3">
        <v>388.36</v>
      </c>
      <c r="K156" s="18">
        <f t="shared" si="2"/>
        <v>15857.4</v>
      </c>
    </row>
    <row r="157" spans="1:11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>
        <v>236</v>
      </c>
      <c r="I157">
        <v>398.78</v>
      </c>
      <c r="J157" s="3">
        <v>377.04</v>
      </c>
      <c r="K157" s="18">
        <f t="shared" si="2"/>
        <v>94112.079999999987</v>
      </c>
    </row>
    <row r="158" spans="1:11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>
        <v>445</v>
      </c>
      <c r="I158">
        <v>459.75</v>
      </c>
      <c r="J158" s="3">
        <v>313.97000000000003</v>
      </c>
      <c r="K158" s="18">
        <f t="shared" si="2"/>
        <v>204588.75</v>
      </c>
    </row>
    <row r="159" spans="1:11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>
        <v>390</v>
      </c>
      <c r="I159">
        <v>302.3</v>
      </c>
      <c r="J159" s="3">
        <v>143.22999999999999</v>
      </c>
      <c r="K159" s="18">
        <f t="shared" si="2"/>
        <v>117897</v>
      </c>
    </row>
    <row r="160" spans="1:11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>
        <v>469</v>
      </c>
      <c r="I160">
        <v>470.73</v>
      </c>
      <c r="J160" s="3">
        <v>166.03</v>
      </c>
      <c r="K160" s="18">
        <f t="shared" si="2"/>
        <v>220772.37</v>
      </c>
    </row>
    <row r="161" spans="1:11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>
        <v>16</v>
      </c>
      <c r="I161">
        <v>255.4</v>
      </c>
      <c r="J161" s="3">
        <v>220.75</v>
      </c>
      <c r="K161" s="18">
        <f t="shared" si="2"/>
        <v>4086.4</v>
      </c>
    </row>
    <row r="162" spans="1:11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>
        <v>38</v>
      </c>
      <c r="I162">
        <v>335.15</v>
      </c>
      <c r="J162" s="3">
        <v>332.55</v>
      </c>
      <c r="K162" s="18">
        <f t="shared" si="2"/>
        <v>12735.699999999999</v>
      </c>
    </row>
    <row r="163" spans="1:11">
      <c r="A163" s="3" t="s">
        <v>187</v>
      </c>
      <c r="B163" s="3" t="s">
        <v>22</v>
      </c>
      <c r="C163" s="3" t="s">
        <v>31</v>
      </c>
      <c r="E163" s="3" t="s">
        <v>24</v>
      </c>
      <c r="F163" s="3" t="s">
        <v>28</v>
      </c>
      <c r="G163" s="4">
        <v>45085</v>
      </c>
      <c r="H163">
        <v>404</v>
      </c>
      <c r="I163">
        <v>290.70999999999998</v>
      </c>
      <c r="J163" s="3">
        <v>29.35</v>
      </c>
      <c r="K163" s="18">
        <f t="shared" si="2"/>
        <v>117446.84</v>
      </c>
    </row>
    <row r="164" spans="1:11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>
        <v>42</v>
      </c>
      <c r="I164">
        <v>177.54</v>
      </c>
      <c r="J164" s="3">
        <v>170.87</v>
      </c>
      <c r="K164" s="18">
        <f t="shared" si="2"/>
        <v>7456.6799999999994</v>
      </c>
    </row>
    <row r="165" spans="1:11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>
        <v>143</v>
      </c>
      <c r="I165">
        <v>83.85</v>
      </c>
      <c r="J165" s="3">
        <v>34.880000000000003</v>
      </c>
      <c r="K165" s="18">
        <f t="shared" si="2"/>
        <v>11990.55</v>
      </c>
    </row>
    <row r="166" spans="1:11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>
        <v>376</v>
      </c>
      <c r="I166">
        <v>304.45</v>
      </c>
      <c r="J166" s="3">
        <v>206.83</v>
      </c>
      <c r="K166" s="18">
        <f t="shared" si="2"/>
        <v>114473.2</v>
      </c>
    </row>
    <row r="167" spans="1:11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>
        <v>88</v>
      </c>
      <c r="I167">
        <v>162.47</v>
      </c>
      <c r="J167" s="3">
        <v>359.76</v>
      </c>
      <c r="K167" s="18">
        <f t="shared" si="2"/>
        <v>14297.36</v>
      </c>
    </row>
    <row r="168" spans="1:11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>
        <v>425</v>
      </c>
      <c r="I168">
        <v>433.89</v>
      </c>
      <c r="J168" s="3">
        <v>313.43</v>
      </c>
      <c r="K168" s="18">
        <f t="shared" si="2"/>
        <v>184403.25</v>
      </c>
    </row>
    <row r="169" spans="1:11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>
        <v>444</v>
      </c>
      <c r="I169">
        <v>496.7</v>
      </c>
      <c r="J169" s="3">
        <v>92.68</v>
      </c>
      <c r="K169" s="18">
        <f t="shared" si="2"/>
        <v>220534.8</v>
      </c>
    </row>
    <row r="170" spans="1:11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>
        <v>468</v>
      </c>
      <c r="I170">
        <v>377.45</v>
      </c>
      <c r="J170" s="3">
        <v>390.44</v>
      </c>
      <c r="K170" s="18">
        <f t="shared" si="2"/>
        <v>176646.6</v>
      </c>
    </row>
    <row r="171" spans="1:11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>
        <v>67</v>
      </c>
      <c r="I171">
        <v>49.79</v>
      </c>
      <c r="J171" s="3">
        <v>267.61</v>
      </c>
      <c r="K171" s="18">
        <f t="shared" si="2"/>
        <v>3335.93</v>
      </c>
    </row>
    <row r="172" spans="1:11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>
        <v>480</v>
      </c>
      <c r="I172">
        <v>147.9</v>
      </c>
      <c r="J172" s="3">
        <v>6.15</v>
      </c>
      <c r="K172" s="18">
        <f t="shared" si="2"/>
        <v>70992</v>
      </c>
    </row>
    <row r="173" spans="1:11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>
        <v>35</v>
      </c>
      <c r="I173">
        <v>59.01</v>
      </c>
      <c r="J173" s="3">
        <v>103.65</v>
      </c>
      <c r="K173" s="18">
        <f t="shared" si="2"/>
        <v>2065.35</v>
      </c>
    </row>
    <row r="174" spans="1:11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>
        <v>491</v>
      </c>
      <c r="I174">
        <v>327</v>
      </c>
      <c r="J174" s="3">
        <v>105.76</v>
      </c>
      <c r="K174" s="18">
        <f t="shared" si="2"/>
        <v>160557</v>
      </c>
    </row>
    <row r="175" spans="1:11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>
        <v>439</v>
      </c>
      <c r="I175">
        <v>383.77</v>
      </c>
      <c r="J175" s="3">
        <v>29.56</v>
      </c>
      <c r="K175" s="18">
        <f t="shared" si="2"/>
        <v>168475.03</v>
      </c>
    </row>
    <row r="176" spans="1:11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>
        <v>235</v>
      </c>
      <c r="I176">
        <v>463.21</v>
      </c>
      <c r="J176" s="3">
        <v>384.01</v>
      </c>
      <c r="K176" s="18">
        <f t="shared" si="2"/>
        <v>108854.34999999999</v>
      </c>
    </row>
    <row r="177" spans="1:11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>
        <v>294</v>
      </c>
      <c r="I177">
        <v>221.9</v>
      </c>
      <c r="J177" s="3">
        <v>192.35</v>
      </c>
      <c r="K177" s="18">
        <f t="shared" si="2"/>
        <v>65238.6</v>
      </c>
    </row>
    <row r="178" spans="1:11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>
        <v>13</v>
      </c>
      <c r="I178">
        <v>451.18</v>
      </c>
      <c r="J178" s="3">
        <v>358.53</v>
      </c>
      <c r="K178" s="18">
        <f t="shared" si="2"/>
        <v>5865.34</v>
      </c>
    </row>
    <row r="179" spans="1:11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>
        <v>474</v>
      </c>
      <c r="I179">
        <v>439.56</v>
      </c>
      <c r="J179" s="3">
        <v>130.24</v>
      </c>
      <c r="K179" s="18">
        <f t="shared" si="2"/>
        <v>208351.44</v>
      </c>
    </row>
    <row r="180" spans="1:11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>
        <v>108</v>
      </c>
      <c r="I180">
        <v>162.01</v>
      </c>
      <c r="J180" s="3">
        <v>51.84</v>
      </c>
      <c r="K180" s="18">
        <f t="shared" si="2"/>
        <v>17497.079999999998</v>
      </c>
    </row>
    <row r="181" spans="1:11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>
        <v>406</v>
      </c>
      <c r="I181">
        <v>435.11</v>
      </c>
      <c r="J181" s="3">
        <v>190.79</v>
      </c>
      <c r="K181" s="18">
        <f t="shared" si="2"/>
        <v>176654.66</v>
      </c>
    </row>
    <row r="182" spans="1:11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>
        <v>498</v>
      </c>
      <c r="I182">
        <v>190.96</v>
      </c>
      <c r="J182" s="3">
        <v>47.35</v>
      </c>
      <c r="K182" s="18">
        <f t="shared" si="2"/>
        <v>95098.08</v>
      </c>
    </row>
    <row r="183" spans="1:11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>
        <v>48</v>
      </c>
      <c r="I183">
        <v>151.94999999999999</v>
      </c>
      <c r="J183" s="3">
        <v>195.43</v>
      </c>
      <c r="K183" s="18">
        <f t="shared" si="2"/>
        <v>7293.5999999999995</v>
      </c>
    </row>
    <row r="184" spans="1:11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>
        <v>280</v>
      </c>
      <c r="I184">
        <v>326.29000000000002</v>
      </c>
      <c r="J184" s="3">
        <v>368.28</v>
      </c>
      <c r="K184" s="18">
        <f t="shared" si="2"/>
        <v>91361.200000000012</v>
      </c>
    </row>
    <row r="185" spans="1:11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>
        <v>384</v>
      </c>
      <c r="I185">
        <v>167.55</v>
      </c>
      <c r="J185" s="3">
        <v>209.27</v>
      </c>
      <c r="K185" s="18">
        <f t="shared" si="2"/>
        <v>64339.200000000004</v>
      </c>
    </row>
    <row r="186" spans="1:11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>
        <v>294</v>
      </c>
      <c r="I186">
        <v>316.95</v>
      </c>
      <c r="J186" s="3">
        <v>247.37</v>
      </c>
      <c r="K186" s="18">
        <f t="shared" si="2"/>
        <v>93183.3</v>
      </c>
    </row>
    <row r="187" spans="1:11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>
        <v>166</v>
      </c>
      <c r="I187">
        <v>306.87</v>
      </c>
      <c r="J187" s="3">
        <v>64.34</v>
      </c>
      <c r="K187" s="18">
        <f t="shared" si="2"/>
        <v>50940.42</v>
      </c>
    </row>
    <row r="188" spans="1:11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>
        <v>84</v>
      </c>
      <c r="I188">
        <v>283.89999999999998</v>
      </c>
      <c r="J188" s="3">
        <v>19.41</v>
      </c>
      <c r="K188" s="18">
        <f t="shared" si="2"/>
        <v>23847.599999999999</v>
      </c>
    </row>
    <row r="189" spans="1:11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>
        <v>381</v>
      </c>
      <c r="I189">
        <v>193.31</v>
      </c>
      <c r="J189" s="3">
        <v>46.1</v>
      </c>
      <c r="K189" s="18">
        <f t="shared" si="2"/>
        <v>73651.11</v>
      </c>
    </row>
    <row r="190" spans="1:11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>
        <v>297</v>
      </c>
      <c r="I190">
        <v>276.51</v>
      </c>
      <c r="J190" s="3">
        <v>240.22</v>
      </c>
      <c r="K190" s="18">
        <f t="shared" si="2"/>
        <v>82123.47</v>
      </c>
    </row>
    <row r="191" spans="1:11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>
        <v>139</v>
      </c>
      <c r="I191">
        <v>300.26</v>
      </c>
      <c r="J191" s="3">
        <v>39.81</v>
      </c>
      <c r="K191" s="18">
        <f t="shared" si="2"/>
        <v>41736.14</v>
      </c>
    </row>
    <row r="192" spans="1:11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>
        <v>184</v>
      </c>
      <c r="I192">
        <v>275.12</v>
      </c>
      <c r="J192" s="3">
        <v>151.65</v>
      </c>
      <c r="K192" s="18">
        <f t="shared" si="2"/>
        <v>50622.080000000002</v>
      </c>
    </row>
    <row r="193" spans="1:11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>
        <v>471</v>
      </c>
      <c r="I193">
        <v>224.99</v>
      </c>
      <c r="J193" s="3">
        <v>220.94</v>
      </c>
      <c r="K193" s="18">
        <f t="shared" si="2"/>
        <v>105970.29000000001</v>
      </c>
    </row>
    <row r="194" spans="1:11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>
        <v>93</v>
      </c>
      <c r="I194">
        <v>12.26</v>
      </c>
      <c r="J194" s="3">
        <v>156.68</v>
      </c>
      <c r="K194" s="18">
        <f t="shared" si="2"/>
        <v>1140.18</v>
      </c>
    </row>
    <row r="195" spans="1:11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>
        <v>31</v>
      </c>
      <c r="I195">
        <v>295.60000000000002</v>
      </c>
      <c r="J195" s="3">
        <v>67.150000000000006</v>
      </c>
      <c r="K195" s="18">
        <f t="shared" si="2"/>
        <v>9163.6</v>
      </c>
    </row>
    <row r="196" spans="1:11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>
        <v>468</v>
      </c>
      <c r="I196">
        <v>88.38</v>
      </c>
      <c r="J196" s="3">
        <v>110.97</v>
      </c>
      <c r="K196" s="18">
        <f t="shared" si="2"/>
        <v>41361.839999999997</v>
      </c>
    </row>
    <row r="197" spans="1:11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>
        <v>36</v>
      </c>
      <c r="I197">
        <v>323.08</v>
      </c>
      <c r="J197" s="3">
        <v>371.47</v>
      </c>
      <c r="K197" s="18">
        <f t="shared" si="2"/>
        <v>11630.88</v>
      </c>
    </row>
    <row r="198" spans="1:11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>
        <v>204</v>
      </c>
      <c r="I198">
        <v>380.88</v>
      </c>
      <c r="J198" s="3">
        <v>271.04000000000002</v>
      </c>
      <c r="K198" s="18">
        <f t="shared" ref="K198:K261" si="3">H198*I198</f>
        <v>77699.520000000004</v>
      </c>
    </row>
    <row r="199" spans="1:11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>
        <v>346</v>
      </c>
      <c r="I199">
        <v>252.72</v>
      </c>
      <c r="J199" s="3">
        <v>199.43</v>
      </c>
      <c r="K199" s="18">
        <f t="shared" si="3"/>
        <v>87441.12</v>
      </c>
    </row>
    <row r="200" spans="1:11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>
        <v>391</v>
      </c>
      <c r="I200">
        <v>273.47000000000003</v>
      </c>
      <c r="J200" s="3">
        <v>7.06</v>
      </c>
      <c r="K200" s="18">
        <f t="shared" si="3"/>
        <v>106926.77</v>
      </c>
    </row>
    <row r="201" spans="1:11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>
        <v>245</v>
      </c>
      <c r="I201">
        <v>475.98</v>
      </c>
      <c r="J201" s="3">
        <v>396.98</v>
      </c>
      <c r="K201" s="18">
        <f t="shared" si="3"/>
        <v>116615.1</v>
      </c>
    </row>
    <row r="202" spans="1:11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>
        <v>449</v>
      </c>
      <c r="I202">
        <v>424.35</v>
      </c>
      <c r="J202" s="3">
        <v>269.24</v>
      </c>
      <c r="K202" s="18">
        <f t="shared" si="3"/>
        <v>190533.15000000002</v>
      </c>
    </row>
    <row r="203" spans="1:11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>
        <v>101</v>
      </c>
      <c r="I203">
        <v>457.55</v>
      </c>
      <c r="J203" s="3">
        <v>128.13999999999999</v>
      </c>
      <c r="K203" s="18">
        <f t="shared" si="3"/>
        <v>46212.55</v>
      </c>
    </row>
    <row r="204" spans="1:11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>
        <v>248.5</v>
      </c>
      <c r="I204">
        <v>407.81</v>
      </c>
      <c r="J204" s="3">
        <v>351.95</v>
      </c>
      <c r="K204" s="18">
        <f t="shared" si="3"/>
        <v>101340.785</v>
      </c>
    </row>
    <row r="205" spans="1:11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>
        <v>30</v>
      </c>
      <c r="I205">
        <v>58.91</v>
      </c>
      <c r="J205" s="3">
        <v>104.86</v>
      </c>
      <c r="K205" s="18">
        <f t="shared" si="3"/>
        <v>1767.3</v>
      </c>
    </row>
    <row r="206" spans="1:11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>
        <v>312</v>
      </c>
      <c r="I206">
        <v>78.75</v>
      </c>
      <c r="J206" s="3">
        <v>218.52</v>
      </c>
      <c r="K206" s="18">
        <f t="shared" si="3"/>
        <v>24570</v>
      </c>
    </row>
    <row r="207" spans="1:11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>
        <v>473</v>
      </c>
      <c r="I207">
        <v>265.68</v>
      </c>
      <c r="J207" s="3">
        <v>255.16</v>
      </c>
      <c r="K207" s="18">
        <f t="shared" si="3"/>
        <v>125666.64</v>
      </c>
    </row>
    <row r="208" spans="1:11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>
        <v>366</v>
      </c>
      <c r="I208">
        <v>126.8</v>
      </c>
      <c r="J208" s="3">
        <v>89.98</v>
      </c>
      <c r="K208" s="18">
        <f t="shared" si="3"/>
        <v>46408.799999999996</v>
      </c>
    </row>
    <row r="209" spans="1:11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>
        <v>452</v>
      </c>
      <c r="I209">
        <v>240.96</v>
      </c>
      <c r="J209" s="3">
        <v>391.4</v>
      </c>
      <c r="K209" s="18">
        <f t="shared" si="3"/>
        <v>108913.92</v>
      </c>
    </row>
    <row r="210" spans="1:11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>
        <v>93</v>
      </c>
      <c r="I210">
        <v>200.21</v>
      </c>
      <c r="J210" s="3">
        <v>299.77999999999997</v>
      </c>
      <c r="K210" s="18">
        <f t="shared" si="3"/>
        <v>18619.530000000002</v>
      </c>
    </row>
    <row r="211" spans="1:11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>
        <v>271</v>
      </c>
      <c r="I211">
        <v>276.95999999999998</v>
      </c>
      <c r="J211" s="3">
        <v>224.01</v>
      </c>
      <c r="K211" s="18">
        <f t="shared" si="3"/>
        <v>75056.159999999989</v>
      </c>
    </row>
    <row r="212" spans="1:11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>
        <v>156</v>
      </c>
      <c r="I212">
        <v>374.7</v>
      </c>
      <c r="J212" s="3">
        <v>73.88</v>
      </c>
      <c r="K212" s="18">
        <f t="shared" si="3"/>
        <v>58453.2</v>
      </c>
    </row>
    <row r="213" spans="1:11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>
        <v>450</v>
      </c>
      <c r="I213">
        <v>359.17</v>
      </c>
      <c r="J213" s="3">
        <v>23.44</v>
      </c>
      <c r="K213" s="18">
        <f t="shared" si="3"/>
        <v>161626.5</v>
      </c>
    </row>
    <row r="214" spans="1:11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>
        <v>462</v>
      </c>
      <c r="I214">
        <v>263.01</v>
      </c>
      <c r="J214" s="3">
        <v>129.38</v>
      </c>
      <c r="K214" s="18">
        <f t="shared" si="3"/>
        <v>121510.62</v>
      </c>
    </row>
    <row r="215" spans="1:11">
      <c r="A215" s="3" t="s">
        <v>239</v>
      </c>
      <c r="B215" s="3" t="s">
        <v>11</v>
      </c>
      <c r="C215" s="3" t="s">
        <v>50</v>
      </c>
      <c r="E215" s="3" t="s">
        <v>14</v>
      </c>
      <c r="F215" s="3" t="s">
        <v>28</v>
      </c>
      <c r="G215" s="4">
        <v>45137</v>
      </c>
      <c r="H215">
        <v>396</v>
      </c>
      <c r="I215">
        <v>412.08</v>
      </c>
      <c r="J215" s="3">
        <v>301.77</v>
      </c>
      <c r="K215" s="18">
        <f t="shared" si="3"/>
        <v>163183.67999999999</v>
      </c>
    </row>
    <row r="216" spans="1:11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>
        <v>266</v>
      </c>
      <c r="I216">
        <v>218.28</v>
      </c>
      <c r="J216" s="3">
        <v>109.19</v>
      </c>
      <c r="K216" s="18">
        <f t="shared" si="3"/>
        <v>58062.48</v>
      </c>
    </row>
    <row r="217" spans="1:11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>
        <v>67</v>
      </c>
      <c r="I217">
        <v>448.87</v>
      </c>
      <c r="J217" s="3">
        <v>216.74</v>
      </c>
      <c r="K217" s="18">
        <f t="shared" si="3"/>
        <v>30074.29</v>
      </c>
    </row>
    <row r="218" spans="1:11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>
        <v>389</v>
      </c>
      <c r="I218">
        <v>40.28</v>
      </c>
      <c r="J218" s="3">
        <v>291.72000000000003</v>
      </c>
      <c r="K218" s="18">
        <f t="shared" si="3"/>
        <v>15668.92</v>
      </c>
    </row>
    <row r="219" spans="1:11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>
        <v>431</v>
      </c>
      <c r="I219">
        <v>477.56</v>
      </c>
      <c r="J219" s="3">
        <v>44.96</v>
      </c>
      <c r="K219" s="18">
        <f t="shared" si="3"/>
        <v>205828.36000000002</v>
      </c>
    </row>
    <row r="220" spans="1:11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>
        <v>24</v>
      </c>
      <c r="I220">
        <v>329.07</v>
      </c>
      <c r="J220" s="3">
        <v>274.75</v>
      </c>
      <c r="K220" s="18">
        <f t="shared" si="3"/>
        <v>7897.68</v>
      </c>
    </row>
    <row r="221" spans="1:11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>
        <v>171</v>
      </c>
      <c r="I221">
        <v>193.14</v>
      </c>
      <c r="J221" s="3">
        <v>38.56</v>
      </c>
      <c r="K221" s="18">
        <f t="shared" si="3"/>
        <v>33026.939999999995</v>
      </c>
    </row>
    <row r="222" spans="1:11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>
        <v>454</v>
      </c>
      <c r="I222">
        <v>102.59</v>
      </c>
      <c r="J222" s="3">
        <v>386.12</v>
      </c>
      <c r="K222" s="18">
        <f t="shared" si="3"/>
        <v>46575.86</v>
      </c>
    </row>
    <row r="223" spans="1:11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>
        <v>172</v>
      </c>
      <c r="I223">
        <v>242.2</v>
      </c>
      <c r="J223" s="3">
        <v>196.38</v>
      </c>
      <c r="K223" s="18">
        <f t="shared" si="3"/>
        <v>41658.400000000001</v>
      </c>
    </row>
    <row r="224" spans="1:11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>
        <v>329</v>
      </c>
      <c r="I224">
        <v>101.31</v>
      </c>
      <c r="J224" s="3">
        <v>61.97</v>
      </c>
      <c r="K224" s="18">
        <f t="shared" si="3"/>
        <v>33330.99</v>
      </c>
    </row>
    <row r="225" spans="1:11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>
        <v>290</v>
      </c>
      <c r="I225">
        <v>87.33</v>
      </c>
      <c r="J225" s="3">
        <v>138.27000000000001</v>
      </c>
      <c r="K225" s="18">
        <f t="shared" si="3"/>
        <v>25325.7</v>
      </c>
    </row>
    <row r="226" spans="1:11">
      <c r="A226" s="3" t="s">
        <v>250</v>
      </c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>
        <v>289</v>
      </c>
      <c r="I226">
        <v>310.58999999999997</v>
      </c>
      <c r="J226" s="3">
        <v>166.54</v>
      </c>
      <c r="K226" s="18">
        <f t="shared" si="3"/>
        <v>89760.51</v>
      </c>
    </row>
    <row r="227" spans="1:11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>
        <v>21</v>
      </c>
      <c r="I227">
        <v>263.93</v>
      </c>
      <c r="J227" s="3">
        <v>303.76</v>
      </c>
      <c r="K227" s="18">
        <f t="shared" si="3"/>
        <v>5542.53</v>
      </c>
    </row>
    <row r="228" spans="1:11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>
        <v>283</v>
      </c>
      <c r="I228">
        <v>336.7</v>
      </c>
      <c r="J228" s="3">
        <v>297.88</v>
      </c>
      <c r="K228" s="18">
        <f t="shared" si="3"/>
        <v>95286.099999999991</v>
      </c>
    </row>
    <row r="229" spans="1:11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>
        <v>280</v>
      </c>
      <c r="I229">
        <v>465.15</v>
      </c>
      <c r="J229" s="3">
        <v>245.55</v>
      </c>
      <c r="K229" s="18">
        <f t="shared" si="3"/>
        <v>130242</v>
      </c>
    </row>
    <row r="230" spans="1:11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>
        <v>217</v>
      </c>
      <c r="I230">
        <v>268.47000000000003</v>
      </c>
      <c r="J230" s="3">
        <v>44.16</v>
      </c>
      <c r="K230" s="18">
        <f t="shared" si="3"/>
        <v>58257.990000000005</v>
      </c>
    </row>
    <row r="231" spans="1:11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>
        <v>36</v>
      </c>
      <c r="I231">
        <v>292.56</v>
      </c>
      <c r="J231" s="3">
        <v>62.32</v>
      </c>
      <c r="K231" s="18">
        <f t="shared" si="3"/>
        <v>10532.16</v>
      </c>
    </row>
    <row r="232" spans="1:11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>
        <v>248.5</v>
      </c>
      <c r="I232">
        <v>49.37</v>
      </c>
      <c r="J232" s="3">
        <v>39.32</v>
      </c>
      <c r="K232" s="18">
        <f t="shared" si="3"/>
        <v>12268.445</v>
      </c>
    </row>
    <row r="233" spans="1:11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>
        <v>69</v>
      </c>
      <c r="I233">
        <v>360.23</v>
      </c>
      <c r="J233" s="3">
        <v>231.71</v>
      </c>
      <c r="K233" s="18">
        <f t="shared" si="3"/>
        <v>24855.870000000003</v>
      </c>
    </row>
    <row r="234" spans="1:11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>
        <v>439</v>
      </c>
      <c r="I234">
        <v>202.95</v>
      </c>
      <c r="J234" s="3">
        <v>351.1</v>
      </c>
      <c r="K234" s="18">
        <f t="shared" si="3"/>
        <v>89095.049999999988</v>
      </c>
    </row>
    <row r="235" spans="1:11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>
        <v>482</v>
      </c>
      <c r="I235">
        <v>488.48</v>
      </c>
      <c r="J235" s="3">
        <v>174.65</v>
      </c>
      <c r="K235" s="18">
        <f t="shared" si="3"/>
        <v>235447.36000000002</v>
      </c>
    </row>
    <row r="236" spans="1:11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>
        <v>154</v>
      </c>
      <c r="I236">
        <v>412.47</v>
      </c>
      <c r="J236" s="3">
        <v>66.02</v>
      </c>
      <c r="K236" s="18">
        <f t="shared" si="3"/>
        <v>63520.380000000005</v>
      </c>
    </row>
    <row r="237" spans="1:11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>
        <v>102</v>
      </c>
      <c r="I237">
        <v>263.63</v>
      </c>
      <c r="J237" s="3">
        <v>224.1</v>
      </c>
      <c r="K237" s="18">
        <f t="shared" si="3"/>
        <v>26890.26</v>
      </c>
    </row>
    <row r="238" spans="1:11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>
        <v>318</v>
      </c>
      <c r="I238">
        <v>66</v>
      </c>
      <c r="J238" s="3">
        <v>325.08</v>
      </c>
      <c r="K238" s="18">
        <f t="shared" si="3"/>
        <v>20988</v>
      </c>
    </row>
    <row r="239" spans="1:11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>
        <v>17</v>
      </c>
      <c r="I239">
        <v>430.41</v>
      </c>
      <c r="J239" s="3">
        <v>297.2</v>
      </c>
      <c r="K239" s="18">
        <f t="shared" si="3"/>
        <v>7316.97</v>
      </c>
    </row>
    <row r="240" spans="1:11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>
        <v>88</v>
      </c>
      <c r="I240">
        <v>400.89</v>
      </c>
      <c r="J240" s="3">
        <v>352.82</v>
      </c>
      <c r="K240" s="18">
        <f t="shared" si="3"/>
        <v>35278.32</v>
      </c>
    </row>
    <row r="241" spans="1:11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>
        <v>36</v>
      </c>
      <c r="I241">
        <v>96.37</v>
      </c>
      <c r="J241" s="3">
        <v>112.61</v>
      </c>
      <c r="K241" s="18">
        <f t="shared" si="3"/>
        <v>3469.32</v>
      </c>
    </row>
    <row r="242" spans="1:11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>
        <v>183</v>
      </c>
      <c r="I242">
        <v>151.16</v>
      </c>
      <c r="J242" s="3">
        <v>79.19</v>
      </c>
      <c r="K242" s="18">
        <f t="shared" si="3"/>
        <v>27662.28</v>
      </c>
    </row>
    <row r="243" spans="1:11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>
        <v>59</v>
      </c>
      <c r="I243">
        <v>397.74</v>
      </c>
      <c r="J243" s="3">
        <v>352.17</v>
      </c>
      <c r="K243" s="18">
        <f t="shared" si="3"/>
        <v>23466.66</v>
      </c>
    </row>
    <row r="244" spans="1:11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>
        <v>208</v>
      </c>
      <c r="I244">
        <v>96.69</v>
      </c>
      <c r="J244" s="3">
        <v>263.70999999999998</v>
      </c>
      <c r="K244" s="18">
        <f t="shared" si="3"/>
        <v>20111.52</v>
      </c>
    </row>
    <row r="245" spans="1:11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>
        <v>396</v>
      </c>
      <c r="I245">
        <v>459.29</v>
      </c>
      <c r="J245" s="3">
        <v>125.75</v>
      </c>
      <c r="K245" s="18">
        <f t="shared" si="3"/>
        <v>181878.84</v>
      </c>
    </row>
    <row r="246" spans="1:11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>
        <v>358</v>
      </c>
      <c r="I246">
        <v>215.14</v>
      </c>
      <c r="J246" s="3">
        <v>297.45</v>
      </c>
      <c r="K246" s="18">
        <f t="shared" si="3"/>
        <v>77020.12</v>
      </c>
    </row>
    <row r="247" spans="1:11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>
        <v>457</v>
      </c>
      <c r="I247">
        <v>48.08</v>
      </c>
      <c r="J247" s="3">
        <v>326.42</v>
      </c>
      <c r="K247" s="18">
        <f t="shared" si="3"/>
        <v>21972.559999999998</v>
      </c>
    </row>
    <row r="248" spans="1:11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>
        <v>437</v>
      </c>
      <c r="I248">
        <v>408.8</v>
      </c>
      <c r="J248" s="3">
        <v>246.76</v>
      </c>
      <c r="K248" s="18">
        <f t="shared" si="3"/>
        <v>178645.6</v>
      </c>
    </row>
    <row r="249" spans="1:11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>
        <v>190</v>
      </c>
      <c r="I249">
        <v>189.89</v>
      </c>
      <c r="J249" s="3">
        <v>275.77999999999997</v>
      </c>
      <c r="K249" s="18">
        <f t="shared" si="3"/>
        <v>36079.1</v>
      </c>
    </row>
    <row r="250" spans="1:11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>
        <v>33</v>
      </c>
      <c r="I250">
        <v>265.62</v>
      </c>
      <c r="J250" s="3">
        <v>151.35</v>
      </c>
      <c r="K250" s="18">
        <f t="shared" si="3"/>
        <v>8765.4600000000009</v>
      </c>
    </row>
    <row r="251" spans="1:11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>
        <v>325</v>
      </c>
      <c r="I251">
        <v>60.59</v>
      </c>
      <c r="J251" s="3">
        <v>216.4</v>
      </c>
      <c r="K251" s="18">
        <f t="shared" si="3"/>
        <v>19691.75</v>
      </c>
    </row>
    <row r="252" spans="1:11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>
        <v>387</v>
      </c>
      <c r="I252">
        <v>6.28</v>
      </c>
      <c r="J252" s="3">
        <v>210.62</v>
      </c>
      <c r="K252" s="18">
        <f t="shared" si="3"/>
        <v>2430.36</v>
      </c>
    </row>
    <row r="253" spans="1:11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>
        <v>396</v>
      </c>
      <c r="I253">
        <v>320.8</v>
      </c>
      <c r="J253" s="3">
        <v>339.52</v>
      </c>
      <c r="K253" s="18">
        <f t="shared" si="3"/>
        <v>127036.8</v>
      </c>
    </row>
    <row r="254" spans="1:11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>
        <v>413</v>
      </c>
      <c r="I254">
        <v>260.01</v>
      </c>
      <c r="J254" s="3">
        <v>336.31</v>
      </c>
      <c r="K254" s="18">
        <f t="shared" si="3"/>
        <v>107384.12999999999</v>
      </c>
    </row>
    <row r="255" spans="1:11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>
        <v>248.5</v>
      </c>
      <c r="I255">
        <v>298.8</v>
      </c>
      <c r="J255" s="3">
        <v>333.41</v>
      </c>
      <c r="K255" s="18">
        <f t="shared" si="3"/>
        <v>74251.8</v>
      </c>
    </row>
    <row r="256" spans="1:11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>
        <v>24</v>
      </c>
      <c r="I256">
        <v>397.9</v>
      </c>
      <c r="J256" s="3">
        <v>6.39</v>
      </c>
      <c r="K256" s="18">
        <f t="shared" si="3"/>
        <v>9549.5999999999985</v>
      </c>
    </row>
    <row r="257" spans="1:11">
      <c r="A257" s="3" t="s">
        <v>281</v>
      </c>
      <c r="B257" s="3" t="s">
        <v>17</v>
      </c>
      <c r="C257" s="3" t="s">
        <v>12</v>
      </c>
      <c r="E257" s="3" t="s">
        <v>14</v>
      </c>
      <c r="F257" s="3" t="s">
        <v>15</v>
      </c>
      <c r="G257" s="4">
        <v>45179</v>
      </c>
      <c r="H257">
        <v>162</v>
      </c>
      <c r="I257">
        <v>325.07</v>
      </c>
      <c r="J257" s="3">
        <v>300.32</v>
      </c>
      <c r="K257" s="18">
        <f t="shared" si="3"/>
        <v>52661.34</v>
      </c>
    </row>
    <row r="258" spans="1:11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>
        <v>231</v>
      </c>
      <c r="I258">
        <v>91.51</v>
      </c>
      <c r="J258" s="3">
        <v>303.95</v>
      </c>
      <c r="K258" s="18">
        <f t="shared" si="3"/>
        <v>21138.81</v>
      </c>
    </row>
    <row r="259" spans="1:11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>
        <v>215</v>
      </c>
      <c r="I259">
        <v>183.58</v>
      </c>
      <c r="J259" s="3">
        <v>271.99</v>
      </c>
      <c r="K259" s="18">
        <f t="shared" si="3"/>
        <v>39469.700000000004</v>
      </c>
    </row>
    <row r="260" spans="1:11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>
        <v>464</v>
      </c>
      <c r="I260">
        <v>453.42</v>
      </c>
      <c r="J260" s="3">
        <v>302.99</v>
      </c>
      <c r="K260" s="18">
        <f t="shared" si="3"/>
        <v>210386.88</v>
      </c>
    </row>
    <row r="261" spans="1:11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>
        <v>282</v>
      </c>
      <c r="I261">
        <v>255.4</v>
      </c>
      <c r="J261" s="3">
        <v>337.1</v>
      </c>
      <c r="K261" s="18">
        <f t="shared" si="3"/>
        <v>72022.8</v>
      </c>
    </row>
    <row r="262" spans="1:11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>
        <v>391</v>
      </c>
      <c r="I262">
        <v>280.54000000000002</v>
      </c>
      <c r="J262" s="3">
        <v>189.19</v>
      </c>
      <c r="K262" s="18">
        <f t="shared" ref="K262:K325" si="4">H262*I262</f>
        <v>109691.14000000001</v>
      </c>
    </row>
    <row r="263" spans="1:11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>
        <v>245</v>
      </c>
      <c r="I263">
        <v>131.54</v>
      </c>
      <c r="J263" s="3">
        <v>201.82</v>
      </c>
      <c r="K263" s="18">
        <f t="shared" si="4"/>
        <v>32227.3</v>
      </c>
    </row>
    <row r="264" spans="1:11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>
        <v>349</v>
      </c>
      <c r="I264">
        <v>154.52000000000001</v>
      </c>
      <c r="J264" s="3">
        <v>51.64</v>
      </c>
      <c r="K264" s="18">
        <f t="shared" si="4"/>
        <v>53927.48</v>
      </c>
    </row>
    <row r="265" spans="1:11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>
        <v>237</v>
      </c>
      <c r="I265">
        <v>255.4</v>
      </c>
      <c r="J265" s="3">
        <v>155.38</v>
      </c>
      <c r="K265" s="18">
        <f t="shared" si="4"/>
        <v>60529.8</v>
      </c>
    </row>
    <row r="266" spans="1:11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>
        <v>18</v>
      </c>
      <c r="I266">
        <v>426.33</v>
      </c>
      <c r="J266" s="3">
        <v>258.06</v>
      </c>
      <c r="K266" s="18">
        <f t="shared" si="4"/>
        <v>7673.94</v>
      </c>
    </row>
    <row r="267" spans="1:11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>
        <v>175</v>
      </c>
      <c r="I267">
        <v>337.36</v>
      </c>
      <c r="J267" s="3">
        <v>312.60000000000002</v>
      </c>
      <c r="K267" s="18">
        <f t="shared" si="4"/>
        <v>59038</v>
      </c>
    </row>
    <row r="268" spans="1:11">
      <c r="A268" s="3" t="s">
        <v>292</v>
      </c>
      <c r="B268" s="3" t="s">
        <v>22</v>
      </c>
      <c r="C268" s="3" t="s">
        <v>18</v>
      </c>
      <c r="E268" s="3" t="s">
        <v>14</v>
      </c>
      <c r="F268" s="3" t="s">
        <v>15</v>
      </c>
      <c r="G268" s="4">
        <v>45190</v>
      </c>
      <c r="H268">
        <v>441</v>
      </c>
      <c r="I268">
        <v>405.72</v>
      </c>
      <c r="J268" s="3">
        <v>88.45</v>
      </c>
      <c r="K268" s="18">
        <f t="shared" si="4"/>
        <v>178922.52000000002</v>
      </c>
    </row>
    <row r="269" spans="1:11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>
        <v>453</v>
      </c>
      <c r="I269">
        <v>384.49</v>
      </c>
      <c r="J269" s="3">
        <v>56.85</v>
      </c>
      <c r="K269" s="18">
        <f t="shared" si="4"/>
        <v>174173.97</v>
      </c>
    </row>
    <row r="270" spans="1:11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>
        <v>328</v>
      </c>
      <c r="I270">
        <v>79.099999999999994</v>
      </c>
      <c r="J270" s="3">
        <v>265.89</v>
      </c>
      <c r="K270" s="18">
        <f t="shared" si="4"/>
        <v>25944.799999999999</v>
      </c>
    </row>
    <row r="271" spans="1:11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>
        <v>223</v>
      </c>
      <c r="I271">
        <v>214.85</v>
      </c>
      <c r="J271" s="3">
        <v>2.75</v>
      </c>
      <c r="K271" s="18">
        <f t="shared" si="4"/>
        <v>47911.549999999996</v>
      </c>
    </row>
    <row r="272" spans="1:11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>
        <v>126</v>
      </c>
      <c r="I272">
        <v>80.73</v>
      </c>
      <c r="J272" s="3">
        <v>72.989999999999995</v>
      </c>
      <c r="K272" s="18">
        <f t="shared" si="4"/>
        <v>10171.980000000001</v>
      </c>
    </row>
    <row r="273" spans="1:11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>
        <v>395</v>
      </c>
      <c r="I273">
        <v>121.44</v>
      </c>
      <c r="J273" s="3">
        <v>13.57</v>
      </c>
      <c r="K273" s="18">
        <f t="shared" si="4"/>
        <v>47968.799999999996</v>
      </c>
    </row>
    <row r="274" spans="1:11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>
        <v>353</v>
      </c>
      <c r="I274">
        <v>435.28</v>
      </c>
      <c r="J274" s="3">
        <v>68.42</v>
      </c>
      <c r="K274" s="18">
        <f t="shared" si="4"/>
        <v>153653.84</v>
      </c>
    </row>
    <row r="275" spans="1:11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>
        <v>81</v>
      </c>
      <c r="I275">
        <v>239.08</v>
      </c>
      <c r="J275" s="3">
        <v>74.17</v>
      </c>
      <c r="K275" s="18">
        <f t="shared" si="4"/>
        <v>19365.48</v>
      </c>
    </row>
    <row r="276" spans="1:11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>
        <v>404</v>
      </c>
      <c r="I276">
        <v>270</v>
      </c>
      <c r="J276" s="3">
        <v>156.29</v>
      </c>
      <c r="K276" s="18">
        <f t="shared" si="4"/>
        <v>109080</v>
      </c>
    </row>
    <row r="277" spans="1:11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>
        <v>73</v>
      </c>
      <c r="I277">
        <v>93.33</v>
      </c>
      <c r="J277" s="3">
        <v>162.13</v>
      </c>
      <c r="K277" s="18">
        <f t="shared" si="4"/>
        <v>6813.09</v>
      </c>
    </row>
    <row r="278" spans="1:11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>
        <v>214</v>
      </c>
      <c r="I278">
        <v>159.57</v>
      </c>
      <c r="J278" s="3">
        <v>349.96</v>
      </c>
      <c r="K278" s="18">
        <f t="shared" si="4"/>
        <v>34147.979999999996</v>
      </c>
    </row>
    <row r="279" spans="1:11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>
        <v>218</v>
      </c>
      <c r="I279">
        <v>118.97</v>
      </c>
      <c r="J279" s="3">
        <v>205.02</v>
      </c>
      <c r="K279" s="18">
        <f t="shared" si="4"/>
        <v>25935.46</v>
      </c>
    </row>
    <row r="280" spans="1:11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>
        <v>81</v>
      </c>
      <c r="I280">
        <v>107.06</v>
      </c>
      <c r="J280" s="3">
        <v>289.92</v>
      </c>
      <c r="K280" s="18">
        <f t="shared" si="4"/>
        <v>8671.86</v>
      </c>
    </row>
    <row r="281" spans="1:11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>
        <v>286</v>
      </c>
      <c r="I281">
        <v>320.79000000000002</v>
      </c>
      <c r="J281" s="3">
        <v>43.45</v>
      </c>
      <c r="K281" s="18">
        <f t="shared" si="4"/>
        <v>91745.94</v>
      </c>
    </row>
    <row r="282" spans="1:11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>
        <v>283</v>
      </c>
      <c r="I282">
        <v>132.16</v>
      </c>
      <c r="J282" s="3">
        <v>91.72</v>
      </c>
      <c r="K282" s="18">
        <f t="shared" si="4"/>
        <v>37401.279999999999</v>
      </c>
    </row>
    <row r="283" spans="1:11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>
        <v>487</v>
      </c>
      <c r="I283">
        <v>317.85000000000002</v>
      </c>
      <c r="J283" s="3">
        <v>281.77</v>
      </c>
      <c r="K283" s="18">
        <f t="shared" si="4"/>
        <v>154792.95000000001</v>
      </c>
    </row>
    <row r="284" spans="1:11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>
        <v>329</v>
      </c>
      <c r="I284">
        <v>33.94</v>
      </c>
      <c r="J284" s="3">
        <v>23.02</v>
      </c>
      <c r="K284" s="18">
        <f t="shared" si="4"/>
        <v>11166.259999999998</v>
      </c>
    </row>
    <row r="285" spans="1:11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>
        <v>347</v>
      </c>
      <c r="I285">
        <v>75.180000000000007</v>
      </c>
      <c r="J285" s="3">
        <v>195.67</v>
      </c>
      <c r="K285" s="18">
        <f t="shared" si="4"/>
        <v>26087.460000000003</v>
      </c>
    </row>
    <row r="286" spans="1:11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>
        <v>375</v>
      </c>
      <c r="I286">
        <v>140.9</v>
      </c>
      <c r="J286" s="3">
        <v>240.55</v>
      </c>
      <c r="K286" s="18">
        <f t="shared" si="4"/>
        <v>52837.5</v>
      </c>
    </row>
    <row r="287" spans="1:11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>
        <v>104</v>
      </c>
      <c r="I287">
        <v>300.54000000000002</v>
      </c>
      <c r="J287" s="3">
        <v>241.65</v>
      </c>
      <c r="K287" s="18">
        <f t="shared" si="4"/>
        <v>31256.160000000003</v>
      </c>
    </row>
    <row r="288" spans="1:11">
      <c r="A288" s="3" t="s">
        <v>312</v>
      </c>
      <c r="B288" s="3" t="s">
        <v>11</v>
      </c>
      <c r="C288" s="3" t="s">
        <v>12</v>
      </c>
      <c r="E288" s="3" t="s">
        <v>14</v>
      </c>
      <c r="F288" s="3" t="s">
        <v>15</v>
      </c>
      <c r="G288" s="4">
        <v>45210</v>
      </c>
      <c r="H288">
        <v>175</v>
      </c>
      <c r="I288">
        <v>339.54</v>
      </c>
      <c r="J288" s="3">
        <v>11.13</v>
      </c>
      <c r="K288" s="18">
        <f t="shared" si="4"/>
        <v>59419.5</v>
      </c>
    </row>
    <row r="289" spans="1:11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>
        <v>41</v>
      </c>
      <c r="I289">
        <v>224.14</v>
      </c>
      <c r="J289" s="3">
        <v>130.19999999999999</v>
      </c>
      <c r="K289" s="18">
        <f t="shared" si="4"/>
        <v>9189.74</v>
      </c>
    </row>
    <row r="290" spans="1:11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>
        <v>20</v>
      </c>
      <c r="I290">
        <v>225.67</v>
      </c>
      <c r="J290" s="3">
        <v>255.32</v>
      </c>
      <c r="K290" s="18">
        <f t="shared" si="4"/>
        <v>4513.3999999999996</v>
      </c>
    </row>
    <row r="291" spans="1:11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>
        <v>310</v>
      </c>
      <c r="I291">
        <v>363.64</v>
      </c>
      <c r="J291" s="3">
        <v>61.3</v>
      </c>
      <c r="K291" s="18">
        <f t="shared" si="4"/>
        <v>112728.4</v>
      </c>
    </row>
    <row r="292" spans="1:11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>
        <v>226</v>
      </c>
      <c r="I292">
        <v>255.4</v>
      </c>
      <c r="J292" s="3">
        <v>278.77999999999997</v>
      </c>
      <c r="K292" s="18">
        <f t="shared" si="4"/>
        <v>57720.4</v>
      </c>
    </row>
    <row r="293" spans="1:11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>
        <v>248.5</v>
      </c>
      <c r="I293">
        <v>173.84</v>
      </c>
      <c r="J293" s="3">
        <v>298.88</v>
      </c>
      <c r="K293" s="18">
        <f t="shared" si="4"/>
        <v>43199.24</v>
      </c>
    </row>
    <row r="294" spans="1:11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>
        <v>111</v>
      </c>
      <c r="I294">
        <v>410.26</v>
      </c>
      <c r="J294" s="3">
        <v>392.82</v>
      </c>
      <c r="K294" s="18">
        <f t="shared" si="4"/>
        <v>45538.86</v>
      </c>
    </row>
    <row r="295" spans="1:11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>
        <v>434</v>
      </c>
      <c r="I295">
        <v>303.58999999999997</v>
      </c>
      <c r="J295" s="3">
        <v>85.52</v>
      </c>
      <c r="K295" s="18">
        <f t="shared" si="4"/>
        <v>131758.06</v>
      </c>
    </row>
    <row r="296" spans="1:11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>
        <v>401</v>
      </c>
      <c r="I296">
        <v>171.93</v>
      </c>
      <c r="J296" s="3">
        <v>330.4</v>
      </c>
      <c r="K296" s="18">
        <f t="shared" si="4"/>
        <v>68943.930000000008</v>
      </c>
    </row>
    <row r="297" spans="1:11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>
        <v>276</v>
      </c>
      <c r="I297">
        <v>453.23</v>
      </c>
      <c r="J297" s="3">
        <v>209.08</v>
      </c>
      <c r="K297" s="18">
        <f t="shared" si="4"/>
        <v>125091.48000000001</v>
      </c>
    </row>
    <row r="298" spans="1:11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>
        <v>248.5</v>
      </c>
      <c r="I298">
        <v>387.45</v>
      </c>
      <c r="J298" s="3">
        <v>150.63999999999999</v>
      </c>
      <c r="K298" s="18">
        <f t="shared" si="4"/>
        <v>96281.324999999997</v>
      </c>
    </row>
    <row r="299" spans="1:11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>
        <v>188</v>
      </c>
      <c r="I299">
        <v>136.12</v>
      </c>
      <c r="J299" s="3">
        <v>50.71</v>
      </c>
      <c r="K299" s="18">
        <f t="shared" si="4"/>
        <v>25590.560000000001</v>
      </c>
    </row>
    <row r="300" spans="1:11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>
        <v>97</v>
      </c>
      <c r="I300">
        <v>324.42</v>
      </c>
      <c r="J300" s="3">
        <v>294.73</v>
      </c>
      <c r="K300" s="18">
        <f t="shared" si="4"/>
        <v>31468.74</v>
      </c>
    </row>
    <row r="301" spans="1:11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>
        <v>50</v>
      </c>
      <c r="I301">
        <v>299.89999999999998</v>
      </c>
      <c r="J301" s="3">
        <v>95.87</v>
      </c>
      <c r="K301" s="18">
        <f t="shared" si="4"/>
        <v>14994.999999999998</v>
      </c>
    </row>
    <row r="302" spans="1:11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>
        <v>410</v>
      </c>
      <c r="I302">
        <v>203.59</v>
      </c>
      <c r="J302" s="3">
        <v>149.83000000000001</v>
      </c>
      <c r="K302" s="18">
        <f t="shared" si="4"/>
        <v>83471.899999999994</v>
      </c>
    </row>
    <row r="303" spans="1:11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>
        <v>85</v>
      </c>
      <c r="I303">
        <v>186.64</v>
      </c>
      <c r="J303" s="3">
        <v>26.89</v>
      </c>
      <c r="K303" s="18">
        <f t="shared" si="4"/>
        <v>15864.4</v>
      </c>
    </row>
    <row r="304" spans="1:11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>
        <v>386</v>
      </c>
      <c r="I304">
        <v>175.06</v>
      </c>
      <c r="J304" s="3">
        <v>320.94</v>
      </c>
      <c r="K304" s="18">
        <f t="shared" si="4"/>
        <v>67573.16</v>
      </c>
    </row>
    <row r="305" spans="1:11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>
        <v>55</v>
      </c>
      <c r="I305">
        <v>310.49</v>
      </c>
      <c r="J305" s="3">
        <v>307.10000000000002</v>
      </c>
      <c r="K305" s="18">
        <f t="shared" si="4"/>
        <v>17076.95</v>
      </c>
    </row>
    <row r="306" spans="1:11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>
        <v>169</v>
      </c>
      <c r="I306">
        <v>223.99</v>
      </c>
      <c r="J306" s="3">
        <v>293.98</v>
      </c>
      <c r="K306" s="18">
        <f t="shared" si="4"/>
        <v>37854.310000000005</v>
      </c>
    </row>
    <row r="307" spans="1:11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>
        <v>472</v>
      </c>
      <c r="I307">
        <v>416.77</v>
      </c>
      <c r="J307" s="3">
        <v>121.18</v>
      </c>
      <c r="K307" s="18">
        <f t="shared" si="4"/>
        <v>196715.44</v>
      </c>
    </row>
    <row r="308" spans="1:11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>
        <v>89</v>
      </c>
      <c r="I308">
        <v>336.45</v>
      </c>
      <c r="J308" s="3">
        <v>71.05</v>
      </c>
      <c r="K308" s="18">
        <f t="shared" si="4"/>
        <v>29944.05</v>
      </c>
    </row>
    <row r="309" spans="1:11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>
        <v>319</v>
      </c>
      <c r="I309">
        <v>39.619999999999997</v>
      </c>
      <c r="J309" s="3">
        <v>255.75</v>
      </c>
      <c r="K309" s="18">
        <f t="shared" si="4"/>
        <v>12638.779999999999</v>
      </c>
    </row>
    <row r="310" spans="1:11">
      <c r="A310" s="3" t="s">
        <v>334</v>
      </c>
      <c r="B310" s="3" t="s">
        <v>22</v>
      </c>
      <c r="C310" s="3" t="s">
        <v>12</v>
      </c>
      <c r="E310" s="3" t="s">
        <v>14</v>
      </c>
      <c r="F310" s="3" t="s">
        <v>28</v>
      </c>
      <c r="G310" s="4">
        <v>45232</v>
      </c>
      <c r="H310">
        <v>95</v>
      </c>
      <c r="I310">
        <v>321.88</v>
      </c>
      <c r="J310" s="3">
        <v>199.47</v>
      </c>
      <c r="K310" s="18">
        <f t="shared" si="4"/>
        <v>30578.6</v>
      </c>
    </row>
    <row r="311" spans="1:11">
      <c r="A311" s="3" t="s">
        <v>335</v>
      </c>
      <c r="B311" s="3" t="s">
        <v>17</v>
      </c>
      <c r="C311" s="3" t="s">
        <v>31</v>
      </c>
      <c r="E311" s="3" t="s">
        <v>24</v>
      </c>
      <c r="F311" s="3" t="s">
        <v>15</v>
      </c>
      <c r="G311" s="4">
        <v>45233</v>
      </c>
      <c r="H311">
        <v>101</v>
      </c>
      <c r="I311">
        <v>139.22</v>
      </c>
      <c r="J311" s="3">
        <v>72.94</v>
      </c>
      <c r="K311" s="18">
        <f t="shared" si="4"/>
        <v>14061.22</v>
      </c>
    </row>
    <row r="312" spans="1:11">
      <c r="A312" s="3" t="s">
        <v>336</v>
      </c>
      <c r="B312" s="3" t="s">
        <v>48</v>
      </c>
      <c r="C312" s="3" t="s">
        <v>50</v>
      </c>
      <c r="E312" s="3" t="s">
        <v>14</v>
      </c>
      <c r="F312" s="3" t="s">
        <v>28</v>
      </c>
      <c r="G312" s="4">
        <v>45234</v>
      </c>
      <c r="H312">
        <v>157</v>
      </c>
      <c r="I312">
        <v>255.4</v>
      </c>
      <c r="J312" s="3">
        <v>274.99</v>
      </c>
      <c r="K312" s="18">
        <f t="shared" si="4"/>
        <v>40097.800000000003</v>
      </c>
    </row>
    <row r="313" spans="1:11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>
        <v>170</v>
      </c>
      <c r="I313">
        <v>341.67</v>
      </c>
      <c r="J313" s="3">
        <v>396.47</v>
      </c>
      <c r="K313" s="18">
        <f t="shared" si="4"/>
        <v>58083.9</v>
      </c>
    </row>
    <row r="314" spans="1:11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>
        <v>211</v>
      </c>
      <c r="I314">
        <v>119.26</v>
      </c>
      <c r="J314" s="3">
        <v>299.39</v>
      </c>
      <c r="K314" s="18">
        <f t="shared" si="4"/>
        <v>25163.86</v>
      </c>
    </row>
    <row r="315" spans="1:11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>
        <v>433</v>
      </c>
      <c r="I315">
        <v>231.15</v>
      </c>
      <c r="J315" s="3">
        <v>296.51</v>
      </c>
      <c r="K315" s="18">
        <f t="shared" si="4"/>
        <v>100087.95</v>
      </c>
    </row>
    <row r="316" spans="1:11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>
        <v>425</v>
      </c>
      <c r="I316">
        <v>99.21</v>
      </c>
      <c r="J316" s="3">
        <v>380.22</v>
      </c>
      <c r="K316" s="18">
        <f t="shared" si="4"/>
        <v>42164.25</v>
      </c>
    </row>
    <row r="317" spans="1:11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>
        <v>251</v>
      </c>
      <c r="I317">
        <v>30.91</v>
      </c>
      <c r="J317" s="3">
        <v>82.77</v>
      </c>
      <c r="K317" s="18">
        <f t="shared" si="4"/>
        <v>7758.41</v>
      </c>
    </row>
    <row r="318" spans="1:11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>
        <v>248.5</v>
      </c>
      <c r="I318">
        <v>192.35</v>
      </c>
      <c r="J318" s="3">
        <v>227.09</v>
      </c>
      <c r="K318" s="18">
        <f t="shared" si="4"/>
        <v>47798.974999999999</v>
      </c>
    </row>
    <row r="319" spans="1:11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>
        <v>11</v>
      </c>
      <c r="I319">
        <v>184.66</v>
      </c>
      <c r="J319" s="3">
        <v>391.9</v>
      </c>
      <c r="K319" s="18">
        <f t="shared" si="4"/>
        <v>2031.26</v>
      </c>
    </row>
    <row r="320" spans="1:11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>
        <v>234</v>
      </c>
      <c r="I320">
        <v>497.76</v>
      </c>
      <c r="J320" s="3">
        <v>67.790000000000006</v>
      </c>
      <c r="K320" s="18">
        <f t="shared" si="4"/>
        <v>116475.84</v>
      </c>
    </row>
    <row r="321" spans="1:11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>
        <v>248.5</v>
      </c>
      <c r="I321">
        <v>225.94</v>
      </c>
      <c r="J321" s="3">
        <v>280.7</v>
      </c>
      <c r="K321" s="18">
        <f t="shared" si="4"/>
        <v>56146.09</v>
      </c>
    </row>
    <row r="322" spans="1:11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>
        <v>242</v>
      </c>
      <c r="I322">
        <v>170.12</v>
      </c>
      <c r="J322" s="3">
        <v>235.15</v>
      </c>
      <c r="K322" s="18">
        <f t="shared" si="4"/>
        <v>41169.040000000001</v>
      </c>
    </row>
    <row r="323" spans="1:11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>
        <v>470</v>
      </c>
      <c r="I323">
        <v>292.33999999999997</v>
      </c>
      <c r="J323" s="3">
        <v>235.42</v>
      </c>
      <c r="K323" s="18">
        <f t="shared" si="4"/>
        <v>137399.79999999999</v>
      </c>
    </row>
    <row r="324" spans="1:11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>
        <v>423</v>
      </c>
      <c r="I324">
        <v>48.94</v>
      </c>
      <c r="J324" s="3">
        <v>279.67</v>
      </c>
      <c r="K324" s="18">
        <f t="shared" si="4"/>
        <v>20701.62</v>
      </c>
    </row>
    <row r="325" spans="1:11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>
        <v>426</v>
      </c>
      <c r="I325">
        <v>481.02</v>
      </c>
      <c r="J325" s="3">
        <v>371.99</v>
      </c>
      <c r="K325" s="18">
        <f t="shared" si="4"/>
        <v>204914.52</v>
      </c>
    </row>
    <row r="326" spans="1:11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>
        <v>86</v>
      </c>
      <c r="I326">
        <v>319.31</v>
      </c>
      <c r="J326" s="3">
        <v>313.47000000000003</v>
      </c>
      <c r="K326" s="18">
        <f t="shared" ref="K326:K354" si="5">H326*I326</f>
        <v>27460.66</v>
      </c>
    </row>
    <row r="327" spans="1:11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>
        <v>125</v>
      </c>
      <c r="I327">
        <v>378.64</v>
      </c>
      <c r="J327" s="3">
        <v>24.34</v>
      </c>
      <c r="K327" s="18">
        <f t="shared" si="5"/>
        <v>47330</v>
      </c>
    </row>
    <row r="328" spans="1:11">
      <c r="A328" s="3" t="s">
        <v>352</v>
      </c>
      <c r="B328" s="3" t="s">
        <v>48</v>
      </c>
      <c r="C328" s="3" t="s">
        <v>18</v>
      </c>
      <c r="E328" s="3" t="s">
        <v>14</v>
      </c>
      <c r="F328" s="3" t="s">
        <v>15</v>
      </c>
      <c r="G328" s="4">
        <v>45250</v>
      </c>
      <c r="H328">
        <v>163</v>
      </c>
      <c r="I328">
        <v>89.39</v>
      </c>
      <c r="J328" s="3">
        <v>341.39</v>
      </c>
      <c r="K328" s="18">
        <f t="shared" si="5"/>
        <v>14570.57</v>
      </c>
    </row>
    <row r="329" spans="1:11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>
        <v>415</v>
      </c>
      <c r="I329">
        <v>207.69</v>
      </c>
      <c r="J329" s="3">
        <v>91.77</v>
      </c>
      <c r="K329" s="18">
        <f t="shared" si="5"/>
        <v>86191.35</v>
      </c>
    </row>
    <row r="330" spans="1:11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>
        <v>112</v>
      </c>
      <c r="I330">
        <v>214.23</v>
      </c>
      <c r="J330" s="3">
        <v>152.01</v>
      </c>
      <c r="K330" s="18">
        <f t="shared" si="5"/>
        <v>23993.759999999998</v>
      </c>
    </row>
    <row r="331" spans="1:11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>
        <v>203</v>
      </c>
      <c r="I331">
        <v>411.79</v>
      </c>
      <c r="J331" s="3">
        <v>185.77</v>
      </c>
      <c r="K331" s="18">
        <f t="shared" si="5"/>
        <v>83593.37000000001</v>
      </c>
    </row>
    <row r="332" spans="1:11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>
        <v>248.5</v>
      </c>
      <c r="I332">
        <v>5.61</v>
      </c>
      <c r="J332" s="3">
        <v>193.4</v>
      </c>
      <c r="K332" s="18">
        <f t="shared" si="5"/>
        <v>1394.085</v>
      </c>
    </row>
    <row r="333" spans="1:11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>
        <v>368</v>
      </c>
      <c r="I333">
        <v>153.91999999999999</v>
      </c>
      <c r="J333" s="3">
        <v>175.2</v>
      </c>
      <c r="K333" s="18">
        <f t="shared" si="5"/>
        <v>56642.559999999998</v>
      </c>
    </row>
    <row r="334" spans="1:11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>
        <v>99</v>
      </c>
      <c r="I334">
        <v>490.71</v>
      </c>
      <c r="J334" s="3">
        <v>375.07</v>
      </c>
      <c r="K334" s="18">
        <f t="shared" si="5"/>
        <v>48580.29</v>
      </c>
    </row>
    <row r="335" spans="1:11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>
        <v>183</v>
      </c>
      <c r="I335">
        <v>240.07</v>
      </c>
      <c r="J335" s="3">
        <v>283</v>
      </c>
      <c r="K335" s="18">
        <f t="shared" si="5"/>
        <v>43932.81</v>
      </c>
    </row>
    <row r="336" spans="1:11">
      <c r="A336" s="3" t="s">
        <v>360</v>
      </c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>
        <v>131</v>
      </c>
      <c r="I336">
        <v>194.35</v>
      </c>
      <c r="J336" s="3">
        <v>253.21</v>
      </c>
      <c r="K336" s="18">
        <f t="shared" si="5"/>
        <v>25459.85</v>
      </c>
    </row>
    <row r="337" spans="1:11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>
        <v>152</v>
      </c>
      <c r="I337">
        <v>64.319999999999993</v>
      </c>
      <c r="J337" s="3">
        <v>21.84</v>
      </c>
      <c r="K337" s="18">
        <f t="shared" si="5"/>
        <v>9776.64</v>
      </c>
    </row>
    <row r="338" spans="1:11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>
        <v>491</v>
      </c>
      <c r="I338">
        <v>487.21</v>
      </c>
      <c r="J338" s="3">
        <v>361.76</v>
      </c>
      <c r="K338" s="18">
        <f t="shared" si="5"/>
        <v>239220.11</v>
      </c>
    </row>
    <row r="339" spans="1:11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>
        <v>115</v>
      </c>
      <c r="I339">
        <v>14.91</v>
      </c>
      <c r="J339" s="3">
        <v>363.94</v>
      </c>
      <c r="K339" s="18">
        <f t="shared" si="5"/>
        <v>1714.65</v>
      </c>
    </row>
    <row r="340" spans="1:11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>
        <v>384</v>
      </c>
      <c r="I340">
        <v>369.9</v>
      </c>
      <c r="J340" s="3">
        <v>312.52</v>
      </c>
      <c r="K340" s="18">
        <f t="shared" si="5"/>
        <v>142041.59999999998</v>
      </c>
    </row>
    <row r="341" spans="1:11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>
        <v>437</v>
      </c>
      <c r="I341">
        <v>385.46</v>
      </c>
      <c r="J341" s="3">
        <v>4.8</v>
      </c>
      <c r="K341" s="18">
        <f t="shared" si="5"/>
        <v>168446.02</v>
      </c>
    </row>
    <row r="342" spans="1:11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>
        <v>314</v>
      </c>
      <c r="I342">
        <v>125.61</v>
      </c>
      <c r="J342" s="3">
        <v>24.8</v>
      </c>
      <c r="K342" s="18">
        <f t="shared" si="5"/>
        <v>39441.54</v>
      </c>
    </row>
    <row r="343" spans="1:11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>
        <v>369</v>
      </c>
      <c r="I343">
        <v>337.42</v>
      </c>
      <c r="J343" s="3">
        <v>91.64</v>
      </c>
      <c r="K343" s="18">
        <f t="shared" si="5"/>
        <v>124507.98000000001</v>
      </c>
    </row>
    <row r="344" spans="1:11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>
        <v>468</v>
      </c>
      <c r="I344">
        <v>51</v>
      </c>
      <c r="J344" s="3">
        <v>54.28</v>
      </c>
      <c r="K344" s="18">
        <f t="shared" si="5"/>
        <v>23868</v>
      </c>
    </row>
    <row r="345" spans="1:11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>
        <v>326</v>
      </c>
      <c r="I345">
        <v>132.24</v>
      </c>
      <c r="J345" s="3">
        <v>160.74</v>
      </c>
      <c r="K345" s="18">
        <f t="shared" si="5"/>
        <v>43110.240000000005</v>
      </c>
    </row>
    <row r="346" spans="1:11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>
        <v>460</v>
      </c>
      <c r="I346">
        <v>395.01</v>
      </c>
      <c r="J346" s="3">
        <v>369.2</v>
      </c>
      <c r="K346" s="18">
        <f t="shared" si="5"/>
        <v>181704.6</v>
      </c>
    </row>
    <row r="347" spans="1:11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>
        <v>132</v>
      </c>
      <c r="I347">
        <v>433.02</v>
      </c>
      <c r="J347" s="3">
        <v>189.88</v>
      </c>
      <c r="K347" s="18">
        <f t="shared" si="5"/>
        <v>57158.64</v>
      </c>
    </row>
    <row r="348" spans="1:11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>
        <v>399</v>
      </c>
      <c r="I348">
        <v>306.2</v>
      </c>
      <c r="J348" s="3">
        <v>7.33</v>
      </c>
      <c r="K348" s="18">
        <f t="shared" si="5"/>
        <v>122173.79999999999</v>
      </c>
    </row>
    <row r="349" spans="1:11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>
        <v>18</v>
      </c>
      <c r="I349">
        <v>255.89</v>
      </c>
      <c r="J349" s="3">
        <v>114.53</v>
      </c>
      <c r="K349" s="18">
        <f t="shared" si="5"/>
        <v>4606.0199999999995</v>
      </c>
    </row>
    <row r="350" spans="1:11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>
        <v>271</v>
      </c>
      <c r="I350">
        <v>83.86</v>
      </c>
      <c r="J350" s="3">
        <v>19.75</v>
      </c>
      <c r="K350" s="18">
        <f t="shared" si="5"/>
        <v>22726.06</v>
      </c>
    </row>
    <row r="351" spans="1:11">
      <c r="A351" s="3" t="s">
        <v>375</v>
      </c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>
        <v>82</v>
      </c>
      <c r="I351">
        <v>36.24</v>
      </c>
      <c r="J351" s="3">
        <v>16.440000000000001</v>
      </c>
      <c r="K351" s="18">
        <f t="shared" si="5"/>
        <v>2971.6800000000003</v>
      </c>
    </row>
    <row r="352" spans="1:11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>
        <v>368</v>
      </c>
      <c r="I352">
        <v>63.24</v>
      </c>
      <c r="J352" s="3">
        <v>111.74</v>
      </c>
      <c r="K352" s="18">
        <f t="shared" si="5"/>
        <v>23272.32</v>
      </c>
    </row>
    <row r="353" spans="1:11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>
        <v>232</v>
      </c>
      <c r="I353">
        <v>117.54</v>
      </c>
      <c r="J353" s="3">
        <v>111.69</v>
      </c>
      <c r="K353" s="18">
        <f t="shared" si="5"/>
        <v>27269.280000000002</v>
      </c>
    </row>
    <row r="354" spans="1:11">
      <c r="A354" s="3" t="s">
        <v>378</v>
      </c>
      <c r="B354" s="3" t="s">
        <v>11</v>
      </c>
      <c r="C354" s="3" t="s">
        <v>31</v>
      </c>
      <c r="D354" s="3" t="s">
        <v>23</v>
      </c>
      <c r="E354" s="3" t="s">
        <v>24</v>
      </c>
      <c r="F354" s="3" t="s">
        <v>15</v>
      </c>
      <c r="G354" s="4">
        <v>45276</v>
      </c>
      <c r="H354">
        <v>425</v>
      </c>
      <c r="I354">
        <v>174.13</v>
      </c>
      <c r="J354" s="3">
        <v>315.27999999999997</v>
      </c>
      <c r="K354" s="18">
        <f t="shared" si="5"/>
        <v>74005.25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51"/>
  <sheetViews>
    <sheetView topLeftCell="G1" workbookViewId="0">
      <selection activeCell="M29" sqref="M29"/>
    </sheetView>
  </sheetViews>
  <sheetFormatPr defaultRowHeight="15"/>
  <cols>
    <col min="7" max="7" width="18.140625" bestFit="1" customWidth="1"/>
    <col min="14" max="14" width="9.5703125" bestFit="1" customWidth="1"/>
    <col min="15" max="15" width="10.85546875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8" ht="18.7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3">
        <v>235</v>
      </c>
      <c r="I2" s="3">
        <v>152.91999999999999</v>
      </c>
      <c r="J2" s="3">
        <v>153.6</v>
      </c>
      <c r="L2" s="8" t="s">
        <v>396</v>
      </c>
      <c r="M2" s="8"/>
      <c r="N2" s="8"/>
      <c r="O2" s="8"/>
      <c r="P2" s="8"/>
      <c r="Q2" s="8"/>
      <c r="R2" s="8"/>
    </row>
    <row r="3" spans="1:18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3">
        <v>341</v>
      </c>
      <c r="I3" s="3">
        <v>467.92</v>
      </c>
      <c r="J3" s="3">
        <v>139.84</v>
      </c>
    </row>
    <row r="4" spans="1:18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3">
        <v>179</v>
      </c>
      <c r="I4" s="3">
        <v>473.94</v>
      </c>
      <c r="J4" s="3">
        <v>97.14</v>
      </c>
    </row>
    <row r="5" spans="1:18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3">
        <v>18</v>
      </c>
      <c r="I5" s="3">
        <v>314.52999999999997</v>
      </c>
      <c r="J5" s="3">
        <v>204.87</v>
      </c>
    </row>
    <row r="6" spans="1:18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3">
        <v>472</v>
      </c>
      <c r="I6" s="3">
        <v>392.79</v>
      </c>
      <c r="J6" s="3">
        <v>330.46</v>
      </c>
    </row>
    <row r="7" spans="1:18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3">
        <v>49</v>
      </c>
      <c r="I7" s="3">
        <v>308.07</v>
      </c>
      <c r="J7" s="3">
        <v>113.32</v>
      </c>
    </row>
    <row r="8" spans="1:18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3">
        <v>34</v>
      </c>
      <c r="I8" s="3">
        <v>244.78</v>
      </c>
      <c r="J8" s="3">
        <v>377.07</v>
      </c>
    </row>
    <row r="9" spans="1:18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3">
        <v>270</v>
      </c>
      <c r="I9" s="3">
        <v>332.11</v>
      </c>
      <c r="J9" s="3">
        <v>349.59</v>
      </c>
    </row>
    <row r="10" spans="1:18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3">
        <v>404</v>
      </c>
      <c r="I10" s="3">
        <v>278.74</v>
      </c>
      <c r="J10" s="3">
        <v>66.38</v>
      </c>
    </row>
    <row r="11" spans="1:18">
      <c r="A11" s="3" t="s">
        <v>35</v>
      </c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3">
        <v>452</v>
      </c>
      <c r="I11" s="3">
        <v>300.75</v>
      </c>
      <c r="J11" s="3">
        <v>314.94</v>
      </c>
    </row>
    <row r="12" spans="1:18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3">
        <v>235</v>
      </c>
      <c r="I12" s="3">
        <v>393</v>
      </c>
      <c r="J12" s="3">
        <v>230.69</v>
      </c>
    </row>
    <row r="13" spans="1:18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3">
        <v>481</v>
      </c>
      <c r="I13" s="3">
        <v>243.05</v>
      </c>
      <c r="J13" s="3">
        <v>227.5</v>
      </c>
    </row>
    <row r="14" spans="1:18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3">
        <v>133</v>
      </c>
      <c r="I14" s="3">
        <v>25.17</v>
      </c>
      <c r="J14" s="3">
        <v>157.63999999999999</v>
      </c>
    </row>
    <row r="15" spans="1:18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3">
        <v>472</v>
      </c>
      <c r="I15" s="3">
        <v>86.18</v>
      </c>
      <c r="J15" s="3">
        <v>201.46</v>
      </c>
    </row>
    <row r="16" spans="1:18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3">
        <v>47</v>
      </c>
      <c r="I16" s="3">
        <v>222.11</v>
      </c>
      <c r="J16" s="3">
        <v>160.08000000000001</v>
      </c>
    </row>
    <row r="17" spans="1:16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3">
        <v>337</v>
      </c>
      <c r="I17" s="3">
        <v>363.79</v>
      </c>
      <c r="J17" s="3">
        <v>216.81</v>
      </c>
    </row>
    <row r="18" spans="1:16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3">
        <v>260</v>
      </c>
      <c r="I18" s="3">
        <v>298.67</v>
      </c>
      <c r="J18" s="3">
        <v>251.92</v>
      </c>
    </row>
    <row r="19" spans="1:16">
      <c r="A19" s="3" t="s">
        <v>44</v>
      </c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3">
        <v>398</v>
      </c>
      <c r="I19" s="3">
        <v>326.89999999999998</v>
      </c>
      <c r="J19" s="3">
        <v>270.37</v>
      </c>
    </row>
    <row r="20" spans="1:16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3">
        <v>185</v>
      </c>
      <c r="I20" s="3">
        <v>242.24</v>
      </c>
      <c r="J20" s="3">
        <v>213.93</v>
      </c>
    </row>
    <row r="21" spans="1:16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3">
        <v>99</v>
      </c>
      <c r="I21" s="3">
        <v>309.79000000000002</v>
      </c>
      <c r="J21" s="3">
        <v>289.13</v>
      </c>
    </row>
    <row r="22" spans="1:16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3">
        <v>411</v>
      </c>
      <c r="I22" s="3">
        <v>167.86</v>
      </c>
      <c r="J22" s="3">
        <v>58.23</v>
      </c>
    </row>
    <row r="23" spans="1:16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3">
        <v>463</v>
      </c>
      <c r="I23" s="3">
        <v>237.74</v>
      </c>
      <c r="J23" s="3">
        <v>86.37</v>
      </c>
    </row>
    <row r="24" spans="1:16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3">
        <v>46</v>
      </c>
      <c r="I24" s="3">
        <v>373.42</v>
      </c>
      <c r="J24" s="3">
        <v>327.86</v>
      </c>
    </row>
    <row r="25" spans="1:16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3">
        <v>325</v>
      </c>
      <c r="I25" s="3">
        <v>436.56</v>
      </c>
      <c r="J25" s="3">
        <v>130.37</v>
      </c>
    </row>
    <row r="26" spans="1:16">
      <c r="A26" s="3" t="s">
        <v>53</v>
      </c>
      <c r="B26" s="3" t="s">
        <v>17</v>
      </c>
      <c r="C26" s="3" t="s">
        <v>18</v>
      </c>
      <c r="E26" s="3" t="s">
        <v>24</v>
      </c>
      <c r="F26" s="3" t="s">
        <v>28</v>
      </c>
      <c r="G26" s="4">
        <v>44951</v>
      </c>
      <c r="H26" s="3">
        <v>185</v>
      </c>
      <c r="I26" s="3">
        <v>219.66</v>
      </c>
      <c r="J26" s="3">
        <v>11.11</v>
      </c>
    </row>
    <row r="27" spans="1:16" ht="18.75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3">
        <v>470</v>
      </c>
      <c r="I27" s="3">
        <v>26.61</v>
      </c>
      <c r="J27" s="3">
        <v>63.21</v>
      </c>
      <c r="L27" s="5" t="s">
        <v>397</v>
      </c>
      <c r="M27" s="5"/>
      <c r="N27" s="5" t="s">
        <v>398</v>
      </c>
      <c r="O27" s="5"/>
      <c r="P27" s="5"/>
    </row>
    <row r="28" spans="1:16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3">
        <v>293</v>
      </c>
      <c r="I28" s="3">
        <v>85.03</v>
      </c>
      <c r="J28" s="3">
        <v>91</v>
      </c>
    </row>
    <row r="29" spans="1:16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3">
        <v>462</v>
      </c>
      <c r="J29" s="3">
        <v>383.01</v>
      </c>
    </row>
    <row r="30" spans="1:16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3">
        <v>470</v>
      </c>
      <c r="I30" s="3">
        <v>328.37</v>
      </c>
      <c r="J30" s="3">
        <v>230.07</v>
      </c>
    </row>
    <row r="31" spans="1:16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3">
        <v>90</v>
      </c>
      <c r="I31" s="3">
        <v>169.5</v>
      </c>
      <c r="J31" s="3">
        <v>373.23</v>
      </c>
    </row>
    <row r="32" spans="1:16">
      <c r="A32" s="3" t="s">
        <v>59</v>
      </c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3">
        <v>123</v>
      </c>
      <c r="I32" s="3">
        <v>273.52999999999997</v>
      </c>
      <c r="J32" s="3">
        <v>230.92</v>
      </c>
    </row>
    <row r="33" spans="1:10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3">
        <v>49</v>
      </c>
      <c r="I33" s="3">
        <v>249.17</v>
      </c>
      <c r="J33" s="3">
        <v>192.78</v>
      </c>
    </row>
    <row r="34" spans="1:10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3">
        <v>310</v>
      </c>
      <c r="I34" s="3">
        <v>45.36</v>
      </c>
      <c r="J34" s="3">
        <v>126.86</v>
      </c>
    </row>
    <row r="35" spans="1:10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3">
        <v>233</v>
      </c>
      <c r="I35" s="3">
        <v>204.61</v>
      </c>
      <c r="J35" s="3">
        <v>243.34</v>
      </c>
    </row>
    <row r="36" spans="1:10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3">
        <v>327</v>
      </c>
      <c r="I36" s="3">
        <v>114.18</v>
      </c>
      <c r="J36" s="3">
        <v>57.4</v>
      </c>
    </row>
    <row r="37" spans="1:10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3">
        <v>358</v>
      </c>
      <c r="I37" s="3">
        <v>212.11</v>
      </c>
      <c r="J37" s="3">
        <v>359.51</v>
      </c>
    </row>
    <row r="38" spans="1:10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3">
        <v>124</v>
      </c>
      <c r="J38" s="3">
        <v>332.07</v>
      </c>
    </row>
    <row r="39" spans="1:10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3">
        <v>195</v>
      </c>
      <c r="I39" s="3">
        <v>421.02</v>
      </c>
      <c r="J39" s="3">
        <v>128.38</v>
      </c>
    </row>
    <row r="40" spans="1:10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I40" s="3">
        <v>91.23</v>
      </c>
      <c r="J40" s="3">
        <v>381.21</v>
      </c>
    </row>
    <row r="41" spans="1:10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3">
        <v>65</v>
      </c>
      <c r="I41" s="3">
        <v>480.59</v>
      </c>
      <c r="J41" s="3">
        <v>330.43</v>
      </c>
    </row>
    <row r="42" spans="1:10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3">
        <v>49</v>
      </c>
      <c r="I42" s="3">
        <v>210.87</v>
      </c>
      <c r="J42" s="3">
        <v>267.19</v>
      </c>
    </row>
    <row r="43" spans="1:10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3">
        <v>363</v>
      </c>
      <c r="I43" s="3">
        <v>423.89</v>
      </c>
      <c r="J43" s="3">
        <v>50.46</v>
      </c>
    </row>
    <row r="44" spans="1:10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3">
        <v>49</v>
      </c>
      <c r="I44" s="3">
        <v>316.24</v>
      </c>
      <c r="J44" s="3">
        <v>192.34</v>
      </c>
    </row>
    <row r="45" spans="1:10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3">
        <v>356</v>
      </c>
      <c r="I45" s="3">
        <v>369</v>
      </c>
      <c r="J45" s="3">
        <v>203.43</v>
      </c>
    </row>
    <row r="46" spans="1:10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3">
        <v>470</v>
      </c>
      <c r="J46" s="3">
        <v>94.56</v>
      </c>
    </row>
    <row r="47" spans="1:10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3">
        <v>246</v>
      </c>
      <c r="I47" s="3">
        <v>254.9</v>
      </c>
      <c r="J47" s="3">
        <v>33.83</v>
      </c>
    </row>
    <row r="48" spans="1:10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3">
        <v>298</v>
      </c>
      <c r="I48" s="3">
        <v>273.93</v>
      </c>
      <c r="J48" s="3">
        <v>311.14</v>
      </c>
    </row>
    <row r="49" spans="1:10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3">
        <v>271</v>
      </c>
      <c r="I49" s="3">
        <v>259.43</v>
      </c>
      <c r="J49" s="3">
        <v>50.57</v>
      </c>
    </row>
    <row r="50" spans="1:10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3">
        <v>225</v>
      </c>
      <c r="I50" s="3">
        <v>296.08999999999997</v>
      </c>
      <c r="J50" s="3">
        <v>238.53</v>
      </c>
    </row>
    <row r="51" spans="1:10">
      <c r="A51" s="3" t="s">
        <v>78</v>
      </c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3">
        <v>156</v>
      </c>
      <c r="I51" s="3">
        <v>19.55</v>
      </c>
      <c r="J51" s="3">
        <v>374.71</v>
      </c>
    </row>
    <row r="52" spans="1:10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3">
        <v>345</v>
      </c>
      <c r="I52" s="3">
        <v>200.78</v>
      </c>
      <c r="J52" s="3">
        <v>350.69</v>
      </c>
    </row>
    <row r="53" spans="1:10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3">
        <v>177</v>
      </c>
      <c r="I53" s="3">
        <v>305.06</v>
      </c>
      <c r="J53" s="3">
        <v>112.55</v>
      </c>
    </row>
    <row r="54" spans="1:10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3">
        <v>101</v>
      </c>
      <c r="I54" s="3">
        <v>300.87</v>
      </c>
      <c r="J54" s="3">
        <v>340.88</v>
      </c>
    </row>
    <row r="55" spans="1:10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3">
        <v>362</v>
      </c>
      <c r="I55" s="3">
        <v>397.51</v>
      </c>
      <c r="J55" s="3">
        <v>2.13</v>
      </c>
    </row>
    <row r="56" spans="1:10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3">
        <v>68</v>
      </c>
      <c r="I56" s="3">
        <v>329.23</v>
      </c>
      <c r="J56" s="3">
        <v>9.0399999999999991</v>
      </c>
    </row>
    <row r="57" spans="1:10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3">
        <v>68</v>
      </c>
      <c r="I57" s="3">
        <v>496.11</v>
      </c>
      <c r="J57" s="3">
        <v>241.82</v>
      </c>
    </row>
    <row r="58" spans="1:10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3">
        <v>313</v>
      </c>
      <c r="I58" s="3">
        <v>145.51</v>
      </c>
      <c r="J58" s="3">
        <v>147.19</v>
      </c>
    </row>
    <row r="59" spans="1:10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3">
        <v>178</v>
      </c>
      <c r="I59" s="3">
        <v>182.78</v>
      </c>
      <c r="J59" s="3">
        <v>155.81</v>
      </c>
    </row>
    <row r="60" spans="1:10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3">
        <v>278</v>
      </c>
      <c r="I60" s="3">
        <v>195</v>
      </c>
      <c r="J60" s="3">
        <v>226.65</v>
      </c>
    </row>
    <row r="61" spans="1:10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3">
        <v>372</v>
      </c>
      <c r="I61" s="3">
        <v>235.58</v>
      </c>
      <c r="J61" s="3">
        <v>78.33</v>
      </c>
    </row>
    <row r="62" spans="1:10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3">
        <v>54</v>
      </c>
      <c r="I62" s="3">
        <v>418.82</v>
      </c>
      <c r="J62" s="3">
        <v>86.28</v>
      </c>
    </row>
    <row r="63" spans="1:10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3">
        <v>354</v>
      </c>
      <c r="I63" s="3">
        <v>121.72</v>
      </c>
      <c r="J63" s="3">
        <v>194.87</v>
      </c>
    </row>
    <row r="64" spans="1:10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3">
        <v>190</v>
      </c>
      <c r="I64" s="3">
        <v>389.12</v>
      </c>
      <c r="J64" s="3">
        <v>302.19</v>
      </c>
    </row>
    <row r="65" spans="1:10">
      <c r="A65" s="3" t="s">
        <v>92</v>
      </c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3">
        <v>179</v>
      </c>
      <c r="I65" s="3">
        <v>205.63</v>
      </c>
      <c r="J65" s="3">
        <v>248.56</v>
      </c>
    </row>
    <row r="66" spans="1:10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3">
        <v>365</v>
      </c>
      <c r="I66" s="3">
        <v>302.92</v>
      </c>
      <c r="J66" s="3">
        <v>120.35</v>
      </c>
    </row>
    <row r="67" spans="1:10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3">
        <v>200</v>
      </c>
      <c r="I67" s="3">
        <v>318.11</v>
      </c>
      <c r="J67" s="3">
        <v>173.27</v>
      </c>
    </row>
    <row r="68" spans="1:10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3">
        <v>164</v>
      </c>
      <c r="I68" s="3">
        <v>189.56</v>
      </c>
      <c r="J68" s="3">
        <v>69.92</v>
      </c>
    </row>
    <row r="69" spans="1:10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3">
        <v>431</v>
      </c>
      <c r="I69" s="3">
        <v>258.74</v>
      </c>
      <c r="J69" s="3">
        <v>31.7</v>
      </c>
    </row>
    <row r="70" spans="1:10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3">
        <v>197</v>
      </c>
      <c r="I70" s="3">
        <v>209.45</v>
      </c>
      <c r="J70" s="3">
        <v>313.51</v>
      </c>
    </row>
    <row r="71" spans="1:10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3">
        <v>16</v>
      </c>
      <c r="I71" s="3">
        <v>39.22</v>
      </c>
      <c r="J71" s="3">
        <v>107.62</v>
      </c>
    </row>
    <row r="72" spans="1:10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3">
        <v>142</v>
      </c>
      <c r="I72" s="3">
        <v>221.4</v>
      </c>
      <c r="J72" s="3">
        <v>72.75</v>
      </c>
    </row>
    <row r="73" spans="1:10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3">
        <v>244</v>
      </c>
      <c r="I73" s="3">
        <v>53.21</v>
      </c>
      <c r="J73" s="3">
        <v>277.26</v>
      </c>
    </row>
    <row r="74" spans="1:10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3">
        <v>54</v>
      </c>
      <c r="I74" s="3">
        <v>205.49</v>
      </c>
      <c r="J74" s="3">
        <v>247.98</v>
      </c>
    </row>
    <row r="75" spans="1:10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3">
        <v>323</v>
      </c>
      <c r="I75" s="3">
        <v>298.49</v>
      </c>
      <c r="J75" s="3">
        <v>254.01</v>
      </c>
    </row>
    <row r="76" spans="1:10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3">
        <v>258</v>
      </c>
      <c r="I76" s="3">
        <v>291.81</v>
      </c>
      <c r="J76" s="3">
        <v>93.1</v>
      </c>
    </row>
    <row r="77" spans="1:10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3">
        <v>40</v>
      </c>
      <c r="I77" s="3">
        <v>333</v>
      </c>
      <c r="J77" s="3">
        <v>94.59</v>
      </c>
    </row>
    <row r="78" spans="1:10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3">
        <v>32</v>
      </c>
      <c r="I78" s="3">
        <v>52.15</v>
      </c>
      <c r="J78" s="3">
        <v>89.88</v>
      </c>
    </row>
    <row r="79" spans="1:10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3">
        <v>435</v>
      </c>
      <c r="I79" s="3">
        <v>327.8</v>
      </c>
      <c r="J79" s="3">
        <v>71.150000000000006</v>
      </c>
    </row>
    <row r="80" spans="1:10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3">
        <v>403</v>
      </c>
      <c r="I80" s="3">
        <v>159.51</v>
      </c>
      <c r="J80" s="3">
        <v>262.98</v>
      </c>
    </row>
    <row r="81" spans="1:10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3">
        <v>169</v>
      </c>
      <c r="J81" s="3">
        <v>339.51</v>
      </c>
    </row>
    <row r="82" spans="1:10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3">
        <v>372</v>
      </c>
      <c r="I82" s="3">
        <v>429.7</v>
      </c>
      <c r="J82" s="3">
        <v>290.27999999999997</v>
      </c>
    </row>
    <row r="83" spans="1:10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3">
        <v>446</v>
      </c>
      <c r="I83" s="3">
        <v>9.4700000000000006</v>
      </c>
      <c r="J83" s="3">
        <v>317.25</v>
      </c>
    </row>
    <row r="84" spans="1:10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3">
        <v>167</v>
      </c>
      <c r="I84" s="3">
        <v>296.26</v>
      </c>
      <c r="J84" s="3">
        <v>163.11000000000001</v>
      </c>
    </row>
    <row r="85" spans="1:10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3">
        <v>48</v>
      </c>
      <c r="I85" s="3">
        <v>301.36</v>
      </c>
      <c r="J85" s="3">
        <v>262.32</v>
      </c>
    </row>
    <row r="86" spans="1:10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3">
        <v>424</v>
      </c>
      <c r="I86" s="3">
        <v>201.35</v>
      </c>
      <c r="J86" s="3">
        <v>142.99</v>
      </c>
    </row>
    <row r="87" spans="1:10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3">
        <v>91</v>
      </c>
      <c r="I87" s="3">
        <v>122.33</v>
      </c>
      <c r="J87" s="3">
        <v>211.15</v>
      </c>
    </row>
    <row r="88" spans="1:10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3">
        <v>365</v>
      </c>
      <c r="I88" s="3">
        <v>121.16</v>
      </c>
      <c r="J88" s="3">
        <v>193.69</v>
      </c>
    </row>
    <row r="89" spans="1:10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3">
        <v>267</v>
      </c>
      <c r="I89" s="3">
        <v>442.44</v>
      </c>
      <c r="J89" s="3">
        <v>72.400000000000006</v>
      </c>
    </row>
    <row r="90" spans="1:10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3">
        <v>215</v>
      </c>
      <c r="I90" s="3">
        <v>223.8</v>
      </c>
      <c r="J90" s="3">
        <v>156.06</v>
      </c>
    </row>
    <row r="91" spans="1:10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3">
        <v>86</v>
      </c>
      <c r="I91" s="3">
        <v>168.79</v>
      </c>
      <c r="J91" s="3">
        <v>385.6</v>
      </c>
    </row>
    <row r="92" spans="1:10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3">
        <v>486</v>
      </c>
      <c r="I92" s="3">
        <v>227.14</v>
      </c>
      <c r="J92" s="3">
        <v>100.93</v>
      </c>
    </row>
    <row r="93" spans="1:10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3">
        <v>21</v>
      </c>
      <c r="J93" s="3">
        <v>55.25</v>
      </c>
    </row>
    <row r="94" spans="1:10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3">
        <v>304</v>
      </c>
      <c r="I94" s="3">
        <v>77.150000000000006</v>
      </c>
      <c r="J94" s="3">
        <v>168.6</v>
      </c>
    </row>
    <row r="95" spans="1:10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3">
        <v>459</v>
      </c>
      <c r="I95" s="3">
        <v>227.47</v>
      </c>
      <c r="J95" s="3">
        <v>316.55</v>
      </c>
    </row>
    <row r="96" spans="1:10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3">
        <v>233</v>
      </c>
      <c r="I96" s="3">
        <v>296</v>
      </c>
      <c r="J96" s="3">
        <v>233.69</v>
      </c>
    </row>
    <row r="97" spans="1:10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3">
        <v>22</v>
      </c>
      <c r="I97" s="3">
        <v>474.55</v>
      </c>
      <c r="J97" s="3">
        <v>273.02999999999997</v>
      </c>
    </row>
    <row r="98" spans="1:10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3">
        <v>55</v>
      </c>
      <c r="I98" s="3">
        <v>130</v>
      </c>
      <c r="J98" s="3">
        <v>77.5</v>
      </c>
    </row>
    <row r="99" spans="1:10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3">
        <v>164</v>
      </c>
      <c r="I99" s="3">
        <v>182.83</v>
      </c>
      <c r="J99" s="3">
        <v>248.34</v>
      </c>
    </row>
    <row r="100" spans="1:10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3">
        <v>122</v>
      </c>
      <c r="I100" s="3">
        <v>192.78</v>
      </c>
      <c r="J100" s="3">
        <v>130.75</v>
      </c>
    </row>
    <row r="101" spans="1:10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3">
        <v>242</v>
      </c>
      <c r="I101" s="3">
        <v>304.74</v>
      </c>
      <c r="J101" s="3">
        <v>334.05</v>
      </c>
    </row>
    <row r="102" spans="1:10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3">
        <v>26</v>
      </c>
      <c r="I102" s="3">
        <v>181.58</v>
      </c>
      <c r="J102" s="3">
        <v>252.46</v>
      </c>
    </row>
    <row r="103" spans="1:10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3">
        <v>369</v>
      </c>
      <c r="I103" s="3">
        <v>269.08999999999997</v>
      </c>
      <c r="J103" s="3">
        <v>81.14</v>
      </c>
    </row>
    <row r="104" spans="1:10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3">
        <v>232</v>
      </c>
      <c r="I104" s="3">
        <v>391.99</v>
      </c>
      <c r="J104" s="3">
        <v>27.72</v>
      </c>
    </row>
    <row r="105" spans="1:10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3">
        <v>363</v>
      </c>
      <c r="I105" s="3">
        <v>354.17</v>
      </c>
      <c r="J105" s="3">
        <v>18.97</v>
      </c>
    </row>
    <row r="106" spans="1:10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3">
        <v>197</v>
      </c>
      <c r="I106" s="3">
        <v>225.95</v>
      </c>
      <c r="J106" s="3">
        <v>149.82</v>
      </c>
    </row>
    <row r="107" spans="1:10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3">
        <v>457</v>
      </c>
      <c r="I107" s="3">
        <v>432.79</v>
      </c>
      <c r="J107" s="3">
        <v>107.81</v>
      </c>
    </row>
    <row r="108" spans="1:10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3">
        <v>353</v>
      </c>
      <c r="I108" s="3">
        <v>281.27999999999997</v>
      </c>
      <c r="J108" s="3">
        <v>259.14</v>
      </c>
    </row>
    <row r="109" spans="1:10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3">
        <v>374</v>
      </c>
      <c r="I109" s="3">
        <v>272.25</v>
      </c>
      <c r="J109" s="3">
        <v>200.73</v>
      </c>
    </row>
    <row r="110" spans="1:10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3">
        <v>172</v>
      </c>
      <c r="I110" s="3">
        <v>21.92</v>
      </c>
      <c r="J110" s="3">
        <v>107.88</v>
      </c>
    </row>
    <row r="111" spans="1:10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3">
        <v>335</v>
      </c>
      <c r="I111" s="3">
        <v>493.41</v>
      </c>
      <c r="J111" s="3">
        <v>61.4</v>
      </c>
    </row>
    <row r="112" spans="1:10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3">
        <v>476</v>
      </c>
      <c r="I112" s="3">
        <v>65.87</v>
      </c>
      <c r="J112" s="3">
        <v>52.63</v>
      </c>
    </row>
    <row r="113" spans="1:10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3">
        <v>423</v>
      </c>
      <c r="I113" s="3">
        <v>119.41</v>
      </c>
      <c r="J113" s="3">
        <v>346.13</v>
      </c>
    </row>
    <row r="114" spans="1:10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3">
        <v>464</v>
      </c>
      <c r="I114" s="3">
        <v>30.59</v>
      </c>
      <c r="J114" s="3">
        <v>98.9</v>
      </c>
    </row>
    <row r="115" spans="1:10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3">
        <v>83</v>
      </c>
      <c r="I115" s="3">
        <v>321.8</v>
      </c>
      <c r="J115" s="3">
        <v>261.38</v>
      </c>
    </row>
    <row r="116" spans="1:10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3">
        <v>242</v>
      </c>
      <c r="I116" s="3">
        <v>116.23</v>
      </c>
      <c r="J116" s="3">
        <v>324.64999999999998</v>
      </c>
    </row>
    <row r="117" spans="1:10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3">
        <v>233</v>
      </c>
      <c r="I117" s="3">
        <v>94.11</v>
      </c>
      <c r="J117" s="3">
        <v>246.4</v>
      </c>
    </row>
    <row r="118" spans="1:10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3">
        <v>491</v>
      </c>
      <c r="I118" s="3">
        <v>48.84</v>
      </c>
      <c r="J118" s="3">
        <v>344.11</v>
      </c>
    </row>
    <row r="119" spans="1:10">
      <c r="A119" s="3" t="s">
        <v>146</v>
      </c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3">
        <v>328</v>
      </c>
      <c r="I119" s="3">
        <v>56.14</v>
      </c>
      <c r="J119" s="3">
        <v>158.16999999999999</v>
      </c>
    </row>
    <row r="120" spans="1:10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3">
        <v>421</v>
      </c>
      <c r="I120" s="3">
        <v>294.41000000000003</v>
      </c>
      <c r="J120" s="3">
        <v>382.58</v>
      </c>
    </row>
    <row r="121" spans="1:10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3">
        <v>69</v>
      </c>
      <c r="I121" s="3">
        <v>345.66</v>
      </c>
      <c r="J121" s="3">
        <v>54.99</v>
      </c>
    </row>
    <row r="122" spans="1:10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3">
        <v>344</v>
      </c>
      <c r="I122" s="3">
        <v>201.7</v>
      </c>
      <c r="J122" s="3">
        <v>42.66</v>
      </c>
    </row>
    <row r="123" spans="1:10">
      <c r="A123" s="3" t="s">
        <v>150</v>
      </c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3">
        <v>231</v>
      </c>
      <c r="I123" s="3">
        <v>242.55</v>
      </c>
      <c r="J123" s="3">
        <v>264.16000000000003</v>
      </c>
    </row>
    <row r="124" spans="1:10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3">
        <v>46</v>
      </c>
      <c r="I124" s="3">
        <v>344.55</v>
      </c>
      <c r="J124" s="3">
        <v>377.25</v>
      </c>
    </row>
    <row r="125" spans="1:10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3">
        <v>486</v>
      </c>
      <c r="I125" s="3">
        <v>13.6</v>
      </c>
      <c r="J125" s="3">
        <v>323.94</v>
      </c>
    </row>
    <row r="126" spans="1:10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3">
        <v>287</v>
      </c>
      <c r="I126" s="3">
        <v>164.95</v>
      </c>
      <c r="J126" s="3">
        <v>32.409999999999997</v>
      </c>
    </row>
    <row r="127" spans="1:10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3">
        <v>205</v>
      </c>
      <c r="I127" s="3">
        <v>486.68</v>
      </c>
      <c r="J127" s="3">
        <v>113.19</v>
      </c>
    </row>
    <row r="128" spans="1:10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3">
        <v>413</v>
      </c>
      <c r="I128" s="3">
        <v>292.16000000000003</v>
      </c>
      <c r="J128" s="3">
        <v>372.27</v>
      </c>
    </row>
    <row r="129" spans="1:10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3">
        <v>361</v>
      </c>
      <c r="I129" s="3">
        <v>130.84</v>
      </c>
      <c r="J129" s="3">
        <v>102.72</v>
      </c>
    </row>
    <row r="130" spans="1:10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3">
        <v>493</v>
      </c>
      <c r="I130" s="3">
        <v>263.26</v>
      </c>
      <c r="J130" s="3">
        <v>312.91000000000003</v>
      </c>
    </row>
    <row r="131" spans="1:10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3">
        <v>251</v>
      </c>
      <c r="I131" s="3">
        <v>174.61</v>
      </c>
      <c r="J131" s="3">
        <v>330.4</v>
      </c>
    </row>
    <row r="132" spans="1:10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I132" s="3">
        <v>268.45999999999998</v>
      </c>
      <c r="J132" s="3">
        <v>199.19</v>
      </c>
    </row>
    <row r="133" spans="1:10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3">
        <v>228</v>
      </c>
      <c r="I133" s="3">
        <v>67.239999999999995</v>
      </c>
      <c r="J133" s="3">
        <v>155.77000000000001</v>
      </c>
    </row>
    <row r="134" spans="1:10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3">
        <v>201</v>
      </c>
      <c r="I134" s="3">
        <v>70.69</v>
      </c>
      <c r="J134" s="3">
        <v>181.15</v>
      </c>
    </row>
    <row r="135" spans="1:10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3">
        <v>26</v>
      </c>
      <c r="I135" s="3">
        <v>76.05</v>
      </c>
      <c r="J135" s="3">
        <v>92.33</v>
      </c>
    </row>
    <row r="136" spans="1:10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3">
        <v>21</v>
      </c>
      <c r="I136" s="3">
        <v>470.21</v>
      </c>
      <c r="J136" s="3">
        <v>355.98</v>
      </c>
    </row>
    <row r="137" spans="1:10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3">
        <v>415</v>
      </c>
      <c r="I137" s="3">
        <v>367.78</v>
      </c>
      <c r="J137" s="3">
        <v>181.35</v>
      </c>
    </row>
    <row r="138" spans="1:10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3">
        <v>410</v>
      </c>
      <c r="I138" s="3">
        <v>85.38</v>
      </c>
      <c r="J138" s="3">
        <v>353.22</v>
      </c>
    </row>
    <row r="139" spans="1:10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3">
        <v>403</v>
      </c>
      <c r="I139" s="3">
        <v>98.23</v>
      </c>
      <c r="J139" s="3">
        <v>44.07</v>
      </c>
    </row>
    <row r="140" spans="1:10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3">
        <v>383</v>
      </c>
      <c r="I140" s="3">
        <v>366.76</v>
      </c>
      <c r="J140" s="3">
        <v>395.33</v>
      </c>
    </row>
    <row r="141" spans="1:10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3">
        <v>202</v>
      </c>
      <c r="I141" s="3">
        <v>82.3</v>
      </c>
      <c r="J141" s="3">
        <v>178.42</v>
      </c>
    </row>
    <row r="142" spans="1:10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3">
        <v>31</v>
      </c>
      <c r="I142" s="3">
        <v>121.11</v>
      </c>
      <c r="J142" s="3">
        <v>21.04</v>
      </c>
    </row>
    <row r="143" spans="1:10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3">
        <v>483</v>
      </c>
      <c r="I143" s="3">
        <v>481.86</v>
      </c>
      <c r="J143" s="3">
        <v>17.13</v>
      </c>
    </row>
    <row r="144" spans="1:10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3">
        <v>129</v>
      </c>
      <c r="I144" s="3">
        <v>131.38</v>
      </c>
      <c r="J144" s="3">
        <v>298.99</v>
      </c>
    </row>
    <row r="145" spans="1:10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3">
        <v>219</v>
      </c>
      <c r="I145" s="3">
        <v>332.51</v>
      </c>
      <c r="J145" s="3">
        <v>264.3</v>
      </c>
    </row>
    <row r="146" spans="1:10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3">
        <v>315</v>
      </c>
      <c r="I146" s="3">
        <v>489.42</v>
      </c>
      <c r="J146" s="3">
        <v>321.25</v>
      </c>
    </row>
    <row r="147" spans="1:10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3">
        <v>279</v>
      </c>
      <c r="I147" s="3">
        <v>190.28</v>
      </c>
      <c r="J147" s="3">
        <v>43.94</v>
      </c>
    </row>
    <row r="148" spans="1:10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3">
        <v>201</v>
      </c>
      <c r="I148" s="3">
        <v>13.67</v>
      </c>
      <c r="J148" s="3">
        <v>16.16</v>
      </c>
    </row>
    <row r="149" spans="1:10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3">
        <v>184</v>
      </c>
      <c r="I149" s="3">
        <v>125.85</v>
      </c>
      <c r="J149" s="3">
        <v>204.41</v>
      </c>
    </row>
    <row r="150" spans="1:10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3">
        <v>294</v>
      </c>
      <c r="I150" s="3">
        <v>416.28</v>
      </c>
      <c r="J150" s="3">
        <v>156.26</v>
      </c>
    </row>
    <row r="151" spans="1:10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3">
        <v>213</v>
      </c>
      <c r="I151" s="3">
        <v>432.98</v>
      </c>
      <c r="J151" s="3">
        <v>185.85</v>
      </c>
    </row>
    <row r="152" spans="1:10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3">
        <v>173</v>
      </c>
      <c r="I152" s="3">
        <v>385.42</v>
      </c>
      <c r="J152" s="3">
        <v>396.65</v>
      </c>
    </row>
    <row r="153" spans="1:10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3">
        <v>260</v>
      </c>
      <c r="I153" s="3">
        <v>60.99</v>
      </c>
      <c r="J153" s="3">
        <v>388.36</v>
      </c>
    </row>
    <row r="154" spans="1:10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3">
        <v>236</v>
      </c>
      <c r="I154" s="3">
        <v>398.78</v>
      </c>
      <c r="J154" s="3">
        <v>377.04</v>
      </c>
    </row>
    <row r="155" spans="1:10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3">
        <v>445</v>
      </c>
      <c r="I155" s="3">
        <v>459.75</v>
      </c>
      <c r="J155" s="3">
        <v>313.97000000000003</v>
      </c>
    </row>
    <row r="156" spans="1:10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3">
        <v>390</v>
      </c>
      <c r="I156" s="3">
        <v>302.3</v>
      </c>
      <c r="J156" s="3">
        <v>143.22999999999999</v>
      </c>
    </row>
    <row r="157" spans="1:10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3">
        <v>469</v>
      </c>
      <c r="I157" s="3">
        <v>470.73</v>
      </c>
      <c r="J157" s="3">
        <v>166.03</v>
      </c>
    </row>
    <row r="158" spans="1:10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3">
        <v>16</v>
      </c>
      <c r="J158" s="3">
        <v>220.75</v>
      </c>
    </row>
    <row r="159" spans="1:10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3">
        <v>38</v>
      </c>
      <c r="I159" s="3">
        <v>335.15</v>
      </c>
      <c r="J159" s="3">
        <v>332.55</v>
      </c>
    </row>
    <row r="160" spans="1:10">
      <c r="A160" s="3" t="s">
        <v>187</v>
      </c>
      <c r="B160" s="3" t="s">
        <v>22</v>
      </c>
      <c r="C160" s="3" t="s">
        <v>31</v>
      </c>
      <c r="E160" s="3" t="s">
        <v>24</v>
      </c>
      <c r="F160" s="3" t="s">
        <v>28</v>
      </c>
      <c r="G160" s="4">
        <v>45085</v>
      </c>
      <c r="H160" s="3">
        <v>404</v>
      </c>
      <c r="I160" s="3">
        <v>290.70999999999998</v>
      </c>
      <c r="J160" s="3">
        <v>29.35</v>
      </c>
    </row>
    <row r="161" spans="1:10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3">
        <v>42</v>
      </c>
      <c r="I161" s="3">
        <v>177.54</v>
      </c>
      <c r="J161" s="3">
        <v>170.87</v>
      </c>
    </row>
    <row r="162" spans="1:10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3">
        <v>143</v>
      </c>
      <c r="I162" s="3">
        <v>83.85</v>
      </c>
      <c r="J162" s="3">
        <v>34.880000000000003</v>
      </c>
    </row>
    <row r="163" spans="1:10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3">
        <v>376</v>
      </c>
      <c r="I163" s="3">
        <v>304.45</v>
      </c>
      <c r="J163" s="3">
        <v>206.83</v>
      </c>
    </row>
    <row r="164" spans="1:10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3">
        <v>88</v>
      </c>
      <c r="I164" s="3">
        <v>162.47</v>
      </c>
      <c r="J164" s="3">
        <v>359.76</v>
      </c>
    </row>
    <row r="165" spans="1:10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3">
        <v>425</v>
      </c>
      <c r="I165" s="3">
        <v>433.89</v>
      </c>
      <c r="J165" s="3">
        <v>313.43</v>
      </c>
    </row>
    <row r="166" spans="1:10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3">
        <v>444</v>
      </c>
      <c r="I166" s="3">
        <v>496.7</v>
      </c>
      <c r="J166" s="3">
        <v>92.68</v>
      </c>
    </row>
    <row r="167" spans="1:10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3">
        <v>468</v>
      </c>
      <c r="I167" s="3">
        <v>377.45</v>
      </c>
      <c r="J167" s="3">
        <v>390.44</v>
      </c>
    </row>
    <row r="168" spans="1:10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3">
        <v>67</v>
      </c>
      <c r="I168" s="3">
        <v>49.79</v>
      </c>
      <c r="J168" s="3">
        <v>267.61</v>
      </c>
    </row>
    <row r="169" spans="1:10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3">
        <v>480</v>
      </c>
      <c r="I169" s="3">
        <v>147.9</v>
      </c>
      <c r="J169" s="3">
        <v>6.15</v>
      </c>
    </row>
    <row r="170" spans="1:10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3">
        <v>35</v>
      </c>
      <c r="I170" s="3">
        <v>59.01</v>
      </c>
      <c r="J170" s="3">
        <v>103.65</v>
      </c>
    </row>
    <row r="171" spans="1:10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3">
        <v>491</v>
      </c>
      <c r="I171" s="3">
        <v>327</v>
      </c>
      <c r="J171" s="3">
        <v>105.76</v>
      </c>
    </row>
    <row r="172" spans="1:10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3">
        <v>439</v>
      </c>
      <c r="I172" s="3">
        <v>383.77</v>
      </c>
      <c r="J172" s="3">
        <v>29.56</v>
      </c>
    </row>
    <row r="173" spans="1:10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3">
        <v>235</v>
      </c>
      <c r="I173" s="3">
        <v>463.21</v>
      </c>
      <c r="J173" s="3">
        <v>384.01</v>
      </c>
    </row>
    <row r="174" spans="1:10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3">
        <v>294</v>
      </c>
      <c r="I174" s="3">
        <v>221.9</v>
      </c>
      <c r="J174" s="3">
        <v>192.35</v>
      </c>
    </row>
    <row r="175" spans="1:10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3">
        <v>13</v>
      </c>
      <c r="I175" s="3">
        <v>451.18</v>
      </c>
      <c r="J175" s="3">
        <v>358.53</v>
      </c>
    </row>
    <row r="176" spans="1:10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3">
        <v>474</v>
      </c>
      <c r="I176" s="3">
        <v>439.56</v>
      </c>
      <c r="J176" s="3">
        <v>130.24</v>
      </c>
    </row>
    <row r="177" spans="1:10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3">
        <v>108</v>
      </c>
      <c r="I177" s="3">
        <v>162.01</v>
      </c>
      <c r="J177" s="3">
        <v>51.84</v>
      </c>
    </row>
    <row r="178" spans="1:10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3">
        <v>406</v>
      </c>
      <c r="I178" s="3">
        <v>435.11</v>
      </c>
      <c r="J178" s="3">
        <v>190.79</v>
      </c>
    </row>
    <row r="179" spans="1:10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3">
        <v>498</v>
      </c>
      <c r="I179" s="3">
        <v>190.96</v>
      </c>
      <c r="J179" s="3">
        <v>47.35</v>
      </c>
    </row>
    <row r="180" spans="1:10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3">
        <v>48</v>
      </c>
      <c r="I180" s="3">
        <v>151.94999999999999</v>
      </c>
      <c r="J180" s="3">
        <v>195.43</v>
      </c>
    </row>
    <row r="181" spans="1:10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3">
        <v>280</v>
      </c>
      <c r="I181" s="3">
        <v>326.29000000000002</v>
      </c>
      <c r="J181" s="3">
        <v>368.28</v>
      </c>
    </row>
    <row r="182" spans="1:10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3">
        <v>384</v>
      </c>
      <c r="I182" s="3">
        <v>167.55</v>
      </c>
      <c r="J182" s="3">
        <v>209.27</v>
      </c>
    </row>
    <row r="183" spans="1:10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3">
        <v>294</v>
      </c>
      <c r="I183" s="3">
        <v>316.95</v>
      </c>
      <c r="J183" s="3">
        <v>247.37</v>
      </c>
    </row>
    <row r="184" spans="1:10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3">
        <v>166</v>
      </c>
      <c r="I184" s="3">
        <v>306.87</v>
      </c>
      <c r="J184" s="3">
        <v>64.34</v>
      </c>
    </row>
    <row r="185" spans="1:10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3">
        <v>84</v>
      </c>
      <c r="I185" s="3">
        <v>283.89999999999998</v>
      </c>
      <c r="J185" s="3">
        <v>19.41</v>
      </c>
    </row>
    <row r="186" spans="1:10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3">
        <v>381</v>
      </c>
      <c r="I186" s="3">
        <v>193.31</v>
      </c>
      <c r="J186" s="3">
        <v>46.1</v>
      </c>
    </row>
    <row r="187" spans="1:10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3">
        <v>297</v>
      </c>
      <c r="I187" s="3">
        <v>276.51</v>
      </c>
      <c r="J187" s="3">
        <v>240.22</v>
      </c>
    </row>
    <row r="188" spans="1:10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3">
        <v>139</v>
      </c>
      <c r="I188" s="3">
        <v>300.26</v>
      </c>
      <c r="J188" s="3">
        <v>39.81</v>
      </c>
    </row>
    <row r="189" spans="1:10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3">
        <v>184</v>
      </c>
      <c r="I189" s="3">
        <v>275.12</v>
      </c>
      <c r="J189" s="3">
        <v>151.65</v>
      </c>
    </row>
    <row r="190" spans="1:10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3">
        <v>471</v>
      </c>
      <c r="I190" s="3">
        <v>224.99</v>
      </c>
      <c r="J190" s="3">
        <v>220.94</v>
      </c>
    </row>
    <row r="191" spans="1:10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3">
        <v>93</v>
      </c>
      <c r="I191" s="3">
        <v>12.26</v>
      </c>
      <c r="J191" s="3">
        <v>156.68</v>
      </c>
    </row>
    <row r="192" spans="1:10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3">
        <v>31</v>
      </c>
      <c r="I192" s="3">
        <v>295.60000000000002</v>
      </c>
      <c r="J192" s="3">
        <v>67.150000000000006</v>
      </c>
    </row>
    <row r="193" spans="1:10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3">
        <v>468</v>
      </c>
      <c r="I193" s="3">
        <v>88.38</v>
      </c>
      <c r="J193" s="3">
        <v>110.97</v>
      </c>
    </row>
    <row r="194" spans="1:10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3">
        <v>36</v>
      </c>
      <c r="I194" s="3">
        <v>323.08</v>
      </c>
      <c r="J194" s="3">
        <v>371.47</v>
      </c>
    </row>
    <row r="195" spans="1:10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3">
        <v>204</v>
      </c>
      <c r="I195" s="3">
        <v>380.88</v>
      </c>
      <c r="J195" s="3">
        <v>271.04000000000002</v>
      </c>
    </row>
    <row r="196" spans="1:10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3">
        <v>346</v>
      </c>
      <c r="I196" s="3">
        <v>252.72</v>
      </c>
      <c r="J196" s="3">
        <v>199.43</v>
      </c>
    </row>
    <row r="197" spans="1:10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3">
        <v>391</v>
      </c>
      <c r="I197" s="3">
        <v>273.47000000000003</v>
      </c>
      <c r="J197" s="3">
        <v>7.06</v>
      </c>
    </row>
    <row r="198" spans="1:10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3">
        <v>245</v>
      </c>
      <c r="I198" s="3">
        <v>475.98</v>
      </c>
      <c r="J198" s="3">
        <v>396.98</v>
      </c>
    </row>
    <row r="199" spans="1:10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3">
        <v>449</v>
      </c>
      <c r="I199" s="3">
        <v>424.35</v>
      </c>
      <c r="J199" s="3">
        <v>269.24</v>
      </c>
    </row>
    <row r="200" spans="1:10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3">
        <v>101</v>
      </c>
      <c r="I200" s="3">
        <v>457.55</v>
      </c>
      <c r="J200" s="3">
        <v>128.13999999999999</v>
      </c>
    </row>
    <row r="201" spans="1:10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I201" s="3">
        <v>407.81</v>
      </c>
      <c r="J201" s="3">
        <v>351.95</v>
      </c>
    </row>
    <row r="202" spans="1:10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3">
        <v>30</v>
      </c>
      <c r="I202" s="3">
        <v>58.91</v>
      </c>
      <c r="J202" s="3">
        <v>104.86</v>
      </c>
    </row>
    <row r="203" spans="1:10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3">
        <v>312</v>
      </c>
      <c r="I203" s="3">
        <v>78.75</v>
      </c>
      <c r="J203" s="3">
        <v>218.52</v>
      </c>
    </row>
    <row r="204" spans="1:10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3">
        <v>473</v>
      </c>
      <c r="I204" s="3">
        <v>265.68</v>
      </c>
      <c r="J204" s="3">
        <v>255.16</v>
      </c>
    </row>
    <row r="205" spans="1:10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3">
        <v>366</v>
      </c>
      <c r="I205" s="3">
        <v>126.8</v>
      </c>
      <c r="J205" s="3">
        <v>89.98</v>
      </c>
    </row>
    <row r="206" spans="1:10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3">
        <v>452</v>
      </c>
      <c r="I206" s="3">
        <v>240.96</v>
      </c>
      <c r="J206" s="3">
        <v>391.4</v>
      </c>
    </row>
    <row r="207" spans="1:10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3">
        <v>93</v>
      </c>
      <c r="I207" s="3">
        <v>200.21</v>
      </c>
      <c r="J207" s="3">
        <v>299.77999999999997</v>
      </c>
    </row>
    <row r="208" spans="1:10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3">
        <v>271</v>
      </c>
      <c r="I208" s="3">
        <v>276.95999999999998</v>
      </c>
      <c r="J208" s="3">
        <v>224.01</v>
      </c>
    </row>
    <row r="209" spans="1:10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3">
        <v>156</v>
      </c>
      <c r="I209" s="3">
        <v>374.7</v>
      </c>
      <c r="J209" s="3">
        <v>73.88</v>
      </c>
    </row>
    <row r="210" spans="1:10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3">
        <v>450</v>
      </c>
      <c r="I210" s="3">
        <v>359.17</v>
      </c>
      <c r="J210" s="3">
        <v>23.44</v>
      </c>
    </row>
    <row r="211" spans="1:10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3">
        <v>462</v>
      </c>
      <c r="I211" s="3">
        <v>263.01</v>
      </c>
      <c r="J211" s="3">
        <v>129.38</v>
      </c>
    </row>
    <row r="212" spans="1:10">
      <c r="A212" s="3" t="s">
        <v>239</v>
      </c>
      <c r="B212" s="3" t="s">
        <v>11</v>
      </c>
      <c r="C212" s="3" t="s">
        <v>50</v>
      </c>
      <c r="E212" s="3" t="s">
        <v>14</v>
      </c>
      <c r="F212" s="3" t="s">
        <v>28</v>
      </c>
      <c r="G212" s="4">
        <v>45137</v>
      </c>
      <c r="H212" s="3">
        <v>396</v>
      </c>
      <c r="I212" s="3">
        <v>412.08</v>
      </c>
      <c r="J212" s="3">
        <v>301.77</v>
      </c>
    </row>
    <row r="213" spans="1:10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3">
        <v>266</v>
      </c>
      <c r="I213" s="3">
        <v>218.28</v>
      </c>
      <c r="J213" s="3">
        <v>109.19</v>
      </c>
    </row>
    <row r="214" spans="1:10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3">
        <v>67</v>
      </c>
      <c r="I214" s="3">
        <v>448.87</v>
      </c>
      <c r="J214" s="3">
        <v>216.74</v>
      </c>
    </row>
    <row r="215" spans="1:10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3">
        <v>389</v>
      </c>
      <c r="I215" s="3">
        <v>40.28</v>
      </c>
      <c r="J215" s="3">
        <v>291.72000000000003</v>
      </c>
    </row>
    <row r="216" spans="1:10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3">
        <v>431</v>
      </c>
      <c r="I216" s="3">
        <v>477.56</v>
      </c>
      <c r="J216" s="3">
        <v>44.96</v>
      </c>
    </row>
    <row r="217" spans="1:10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3">
        <v>24</v>
      </c>
      <c r="I217" s="3">
        <v>329.07</v>
      </c>
      <c r="J217" s="3">
        <v>274.75</v>
      </c>
    </row>
    <row r="218" spans="1:10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3">
        <v>171</v>
      </c>
      <c r="I218" s="3">
        <v>193.14</v>
      </c>
      <c r="J218" s="3">
        <v>38.56</v>
      </c>
    </row>
    <row r="219" spans="1:10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3">
        <v>454</v>
      </c>
      <c r="I219" s="3">
        <v>102.59</v>
      </c>
      <c r="J219" s="3">
        <v>386.12</v>
      </c>
    </row>
    <row r="220" spans="1:10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3">
        <v>172</v>
      </c>
      <c r="I220" s="3">
        <v>242.2</v>
      </c>
      <c r="J220" s="3">
        <v>196.38</v>
      </c>
    </row>
    <row r="221" spans="1:10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3">
        <v>329</v>
      </c>
      <c r="I221" s="3">
        <v>101.31</v>
      </c>
      <c r="J221" s="3">
        <v>61.97</v>
      </c>
    </row>
    <row r="222" spans="1:10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3">
        <v>290</v>
      </c>
      <c r="I222" s="3">
        <v>87.33</v>
      </c>
      <c r="J222" s="3">
        <v>138.27000000000001</v>
      </c>
    </row>
    <row r="223" spans="1:10">
      <c r="A223" s="3" t="s">
        <v>250</v>
      </c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3">
        <v>289</v>
      </c>
      <c r="I223" s="3">
        <v>310.58999999999997</v>
      </c>
      <c r="J223" s="3">
        <v>166.54</v>
      </c>
    </row>
    <row r="224" spans="1:10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3">
        <v>21</v>
      </c>
      <c r="I224" s="3">
        <v>263.93</v>
      </c>
      <c r="J224" s="3">
        <v>303.76</v>
      </c>
    </row>
    <row r="225" spans="1:10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3">
        <v>283</v>
      </c>
      <c r="I225" s="3">
        <v>336.7</v>
      </c>
      <c r="J225" s="3">
        <v>297.88</v>
      </c>
    </row>
    <row r="226" spans="1:10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3">
        <v>280</v>
      </c>
      <c r="I226" s="3">
        <v>465.15</v>
      </c>
      <c r="J226" s="3">
        <v>245.55</v>
      </c>
    </row>
    <row r="227" spans="1:10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3">
        <v>217</v>
      </c>
      <c r="I227" s="3">
        <v>268.47000000000003</v>
      </c>
      <c r="J227" s="3">
        <v>44.16</v>
      </c>
    </row>
    <row r="228" spans="1:10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3">
        <v>36</v>
      </c>
      <c r="I228" s="3">
        <v>292.56</v>
      </c>
      <c r="J228" s="3">
        <v>62.32</v>
      </c>
    </row>
    <row r="229" spans="1:10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I229" s="3">
        <v>49.37</v>
      </c>
      <c r="J229" s="3">
        <v>39.32</v>
      </c>
    </row>
    <row r="230" spans="1:10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3">
        <v>69</v>
      </c>
      <c r="I230" s="3">
        <v>360.23</v>
      </c>
      <c r="J230" s="3">
        <v>231.71</v>
      </c>
    </row>
    <row r="231" spans="1:10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3">
        <v>439</v>
      </c>
      <c r="I231" s="3">
        <v>202.95</v>
      </c>
      <c r="J231" s="3">
        <v>351.1</v>
      </c>
    </row>
    <row r="232" spans="1:10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3">
        <v>482</v>
      </c>
      <c r="I232" s="3">
        <v>488.48</v>
      </c>
      <c r="J232" s="3">
        <v>174.65</v>
      </c>
    </row>
    <row r="233" spans="1:10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3">
        <v>154</v>
      </c>
      <c r="I233" s="3">
        <v>412.47</v>
      </c>
      <c r="J233" s="3">
        <v>66.02</v>
      </c>
    </row>
    <row r="234" spans="1:10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3">
        <v>102</v>
      </c>
      <c r="I234" s="3">
        <v>263.63</v>
      </c>
      <c r="J234" s="3">
        <v>224.1</v>
      </c>
    </row>
    <row r="235" spans="1:10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3">
        <v>318</v>
      </c>
      <c r="I235" s="3">
        <v>66</v>
      </c>
      <c r="J235" s="3">
        <v>325.08</v>
      </c>
    </row>
    <row r="236" spans="1:10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3">
        <v>17</v>
      </c>
      <c r="I236" s="3">
        <v>430.41</v>
      </c>
      <c r="J236" s="3">
        <v>297.2</v>
      </c>
    </row>
    <row r="237" spans="1:10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3">
        <v>88</v>
      </c>
      <c r="I237" s="3">
        <v>400.89</v>
      </c>
      <c r="J237" s="3">
        <v>352.82</v>
      </c>
    </row>
    <row r="238" spans="1:10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3">
        <v>36</v>
      </c>
      <c r="I238" s="3">
        <v>96.37</v>
      </c>
      <c r="J238" s="3">
        <v>112.61</v>
      </c>
    </row>
    <row r="239" spans="1:10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3">
        <v>183</v>
      </c>
      <c r="I239" s="3">
        <v>151.16</v>
      </c>
      <c r="J239" s="3">
        <v>79.19</v>
      </c>
    </row>
    <row r="240" spans="1:10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3">
        <v>59</v>
      </c>
      <c r="I240" s="3">
        <v>397.74</v>
      </c>
      <c r="J240" s="3">
        <v>352.17</v>
      </c>
    </row>
    <row r="241" spans="1:10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3">
        <v>208</v>
      </c>
      <c r="I241" s="3">
        <v>96.69</v>
      </c>
      <c r="J241" s="3">
        <v>263.70999999999998</v>
      </c>
    </row>
    <row r="242" spans="1:10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3">
        <v>396</v>
      </c>
      <c r="I242" s="3">
        <v>459.29</v>
      </c>
      <c r="J242" s="3">
        <v>125.75</v>
      </c>
    </row>
    <row r="243" spans="1:10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3">
        <v>358</v>
      </c>
      <c r="I243" s="3">
        <v>215.14</v>
      </c>
      <c r="J243" s="3">
        <v>297.45</v>
      </c>
    </row>
    <row r="244" spans="1:10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3">
        <v>457</v>
      </c>
      <c r="I244" s="3">
        <v>48.08</v>
      </c>
      <c r="J244" s="3">
        <v>326.42</v>
      </c>
    </row>
    <row r="245" spans="1:10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3">
        <v>437</v>
      </c>
      <c r="I245" s="3">
        <v>408.8</v>
      </c>
      <c r="J245" s="3">
        <v>246.76</v>
      </c>
    </row>
    <row r="246" spans="1:10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3">
        <v>190</v>
      </c>
      <c r="I246" s="3">
        <v>189.89</v>
      </c>
      <c r="J246" s="3">
        <v>275.77999999999997</v>
      </c>
    </row>
    <row r="247" spans="1:10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3">
        <v>33</v>
      </c>
      <c r="I247" s="3">
        <v>265.62</v>
      </c>
      <c r="J247" s="3">
        <v>151.35</v>
      </c>
    </row>
    <row r="248" spans="1:10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3">
        <v>325</v>
      </c>
      <c r="I248" s="3">
        <v>60.59</v>
      </c>
      <c r="J248" s="3">
        <v>216.4</v>
      </c>
    </row>
    <row r="249" spans="1:10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3">
        <v>387</v>
      </c>
      <c r="I249" s="3">
        <v>6.28</v>
      </c>
      <c r="J249" s="3">
        <v>210.62</v>
      </c>
    </row>
    <row r="250" spans="1:10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3">
        <v>396</v>
      </c>
      <c r="I250" s="3">
        <v>320.8</v>
      </c>
      <c r="J250" s="3">
        <v>339.52</v>
      </c>
    </row>
    <row r="251" spans="1:10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3">
        <v>413</v>
      </c>
      <c r="I251" s="3">
        <v>260.01</v>
      </c>
      <c r="J251" s="3">
        <v>336.31</v>
      </c>
    </row>
    <row r="252" spans="1:10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I252" s="3">
        <v>298.8</v>
      </c>
      <c r="J252" s="3">
        <v>333.41</v>
      </c>
    </row>
    <row r="253" spans="1:10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3">
        <v>24</v>
      </c>
      <c r="I253" s="3">
        <v>397.9</v>
      </c>
      <c r="J253" s="3">
        <v>6.39</v>
      </c>
    </row>
    <row r="254" spans="1:10">
      <c r="A254" s="3" t="s">
        <v>281</v>
      </c>
      <c r="B254" s="3" t="s">
        <v>17</v>
      </c>
      <c r="C254" s="3" t="s">
        <v>12</v>
      </c>
      <c r="E254" s="3" t="s">
        <v>14</v>
      </c>
      <c r="F254" s="3" t="s">
        <v>15</v>
      </c>
      <c r="G254" s="4">
        <v>45179</v>
      </c>
      <c r="H254" s="3">
        <v>162</v>
      </c>
      <c r="I254" s="3">
        <v>325.07</v>
      </c>
      <c r="J254" s="3">
        <v>300.32</v>
      </c>
    </row>
    <row r="255" spans="1:10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3">
        <v>231</v>
      </c>
      <c r="I255" s="3">
        <v>91.51</v>
      </c>
      <c r="J255" s="3">
        <v>303.95</v>
      </c>
    </row>
    <row r="256" spans="1:10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3">
        <v>215</v>
      </c>
      <c r="I256" s="3">
        <v>183.58</v>
      </c>
      <c r="J256" s="3">
        <v>271.99</v>
      </c>
    </row>
    <row r="257" spans="1:10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3">
        <v>464</v>
      </c>
      <c r="I257" s="3">
        <v>453.42</v>
      </c>
      <c r="J257" s="3">
        <v>302.99</v>
      </c>
    </row>
    <row r="258" spans="1:10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3">
        <v>282</v>
      </c>
      <c r="J258" s="3">
        <v>337.1</v>
      </c>
    </row>
    <row r="259" spans="1:10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3">
        <v>391</v>
      </c>
      <c r="I259" s="3">
        <v>280.54000000000002</v>
      </c>
      <c r="J259" s="3">
        <v>189.19</v>
      </c>
    </row>
    <row r="260" spans="1:10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3">
        <v>245</v>
      </c>
      <c r="I260" s="3">
        <v>131.54</v>
      </c>
      <c r="J260" s="3">
        <v>201.82</v>
      </c>
    </row>
    <row r="261" spans="1:10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3">
        <v>349</v>
      </c>
      <c r="I261" s="3">
        <v>154.52000000000001</v>
      </c>
      <c r="J261" s="3">
        <v>51.64</v>
      </c>
    </row>
    <row r="262" spans="1:10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3">
        <v>237</v>
      </c>
      <c r="J262" s="3">
        <v>155.38</v>
      </c>
    </row>
    <row r="263" spans="1:10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3">
        <v>18</v>
      </c>
      <c r="I263" s="3">
        <v>426.33</v>
      </c>
      <c r="J263" s="3">
        <v>258.06</v>
      </c>
    </row>
    <row r="264" spans="1:10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3">
        <v>175</v>
      </c>
      <c r="I264" s="3">
        <v>337.36</v>
      </c>
      <c r="J264" s="3">
        <v>312.60000000000002</v>
      </c>
    </row>
    <row r="265" spans="1:10">
      <c r="A265" s="3" t="s">
        <v>292</v>
      </c>
      <c r="B265" s="3" t="s">
        <v>22</v>
      </c>
      <c r="C265" s="3" t="s">
        <v>18</v>
      </c>
      <c r="E265" s="3" t="s">
        <v>14</v>
      </c>
      <c r="F265" s="3" t="s">
        <v>15</v>
      </c>
      <c r="G265" s="4">
        <v>45190</v>
      </c>
      <c r="H265" s="3">
        <v>441</v>
      </c>
      <c r="I265" s="3">
        <v>405.72</v>
      </c>
      <c r="J265" s="3">
        <v>88.45</v>
      </c>
    </row>
    <row r="266" spans="1:10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3">
        <v>453</v>
      </c>
      <c r="I266" s="3">
        <v>384.49</v>
      </c>
      <c r="J266" s="3">
        <v>56.85</v>
      </c>
    </row>
    <row r="267" spans="1:10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3">
        <v>328</v>
      </c>
      <c r="I267" s="3">
        <v>79.099999999999994</v>
      </c>
      <c r="J267" s="3">
        <v>265.89</v>
      </c>
    </row>
    <row r="268" spans="1:10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3">
        <v>223</v>
      </c>
      <c r="I268" s="3">
        <v>214.85</v>
      </c>
      <c r="J268" s="3">
        <v>2.75</v>
      </c>
    </row>
    <row r="269" spans="1:10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3">
        <v>126</v>
      </c>
      <c r="I269" s="3">
        <v>80.73</v>
      </c>
      <c r="J269" s="3">
        <v>72.989999999999995</v>
      </c>
    </row>
    <row r="270" spans="1:10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3">
        <v>395</v>
      </c>
      <c r="I270" s="3">
        <v>121.44</v>
      </c>
      <c r="J270" s="3">
        <v>13.57</v>
      </c>
    </row>
    <row r="271" spans="1:10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3">
        <v>353</v>
      </c>
      <c r="I271" s="3">
        <v>435.28</v>
      </c>
      <c r="J271" s="3">
        <v>68.42</v>
      </c>
    </row>
    <row r="272" spans="1:10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3">
        <v>81</v>
      </c>
      <c r="I272" s="3">
        <v>239.08</v>
      </c>
      <c r="J272" s="3">
        <v>74.17</v>
      </c>
    </row>
    <row r="273" spans="1:10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3">
        <v>404</v>
      </c>
      <c r="I273" s="3">
        <v>270</v>
      </c>
      <c r="J273" s="3">
        <v>156.29</v>
      </c>
    </row>
    <row r="274" spans="1:10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3">
        <v>73</v>
      </c>
      <c r="I274" s="3">
        <v>93.33</v>
      </c>
      <c r="J274" s="3">
        <v>162.13</v>
      </c>
    </row>
    <row r="275" spans="1:10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3">
        <v>214</v>
      </c>
      <c r="I275" s="3">
        <v>159.57</v>
      </c>
      <c r="J275" s="3">
        <v>349.96</v>
      </c>
    </row>
    <row r="276" spans="1:10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3">
        <v>218</v>
      </c>
      <c r="I276" s="3">
        <v>118.97</v>
      </c>
      <c r="J276" s="3">
        <v>205.02</v>
      </c>
    </row>
    <row r="277" spans="1:10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3">
        <v>81</v>
      </c>
      <c r="I277" s="3">
        <v>107.06</v>
      </c>
      <c r="J277" s="3">
        <v>289.92</v>
      </c>
    </row>
    <row r="278" spans="1:10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3">
        <v>286</v>
      </c>
      <c r="I278" s="3">
        <v>320.79000000000002</v>
      </c>
      <c r="J278" s="3">
        <v>43.45</v>
      </c>
    </row>
    <row r="279" spans="1:10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3">
        <v>283</v>
      </c>
      <c r="I279" s="3">
        <v>132.16</v>
      </c>
      <c r="J279" s="3">
        <v>91.72</v>
      </c>
    </row>
    <row r="280" spans="1:10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3">
        <v>487</v>
      </c>
      <c r="I280" s="3">
        <v>317.85000000000002</v>
      </c>
      <c r="J280" s="3">
        <v>281.77</v>
      </c>
    </row>
    <row r="281" spans="1:10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3">
        <v>329</v>
      </c>
      <c r="I281" s="3">
        <v>33.94</v>
      </c>
      <c r="J281" s="3">
        <v>23.02</v>
      </c>
    </row>
    <row r="282" spans="1:10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3">
        <v>347</v>
      </c>
      <c r="I282" s="3">
        <v>75.180000000000007</v>
      </c>
      <c r="J282" s="3">
        <v>195.67</v>
      </c>
    </row>
    <row r="283" spans="1:10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3">
        <v>375</v>
      </c>
      <c r="I283" s="3">
        <v>140.9</v>
      </c>
      <c r="J283" s="3">
        <v>240.55</v>
      </c>
    </row>
    <row r="284" spans="1:10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3">
        <v>104</v>
      </c>
      <c r="I284" s="3">
        <v>300.54000000000002</v>
      </c>
      <c r="J284" s="3">
        <v>241.65</v>
      </c>
    </row>
    <row r="285" spans="1:10">
      <c r="A285" s="3" t="s">
        <v>312</v>
      </c>
      <c r="B285" s="3" t="s">
        <v>11</v>
      </c>
      <c r="C285" s="3" t="s">
        <v>12</v>
      </c>
      <c r="E285" s="3" t="s">
        <v>14</v>
      </c>
      <c r="F285" s="3" t="s">
        <v>15</v>
      </c>
      <c r="G285" s="4">
        <v>45210</v>
      </c>
      <c r="H285" s="3">
        <v>175</v>
      </c>
      <c r="I285" s="3">
        <v>339.54</v>
      </c>
      <c r="J285" s="3">
        <v>11.13</v>
      </c>
    </row>
    <row r="286" spans="1:10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3">
        <v>41</v>
      </c>
      <c r="I286" s="3">
        <v>224.14</v>
      </c>
      <c r="J286" s="3">
        <v>130.19999999999999</v>
      </c>
    </row>
    <row r="287" spans="1:10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3">
        <v>20</v>
      </c>
      <c r="I287" s="3">
        <v>225.67</v>
      </c>
      <c r="J287" s="3">
        <v>255.32</v>
      </c>
    </row>
    <row r="288" spans="1:10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3">
        <v>310</v>
      </c>
      <c r="I288" s="3">
        <v>363.64</v>
      </c>
      <c r="J288" s="3">
        <v>61.3</v>
      </c>
    </row>
    <row r="289" spans="1:10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3">
        <v>226</v>
      </c>
      <c r="J289" s="3">
        <v>278.77999999999997</v>
      </c>
    </row>
    <row r="290" spans="1:10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I290" s="3">
        <v>173.84</v>
      </c>
      <c r="J290" s="3">
        <v>298.88</v>
      </c>
    </row>
    <row r="291" spans="1:10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3">
        <v>111</v>
      </c>
      <c r="I291" s="3">
        <v>410.26</v>
      </c>
      <c r="J291" s="3">
        <v>392.82</v>
      </c>
    </row>
    <row r="292" spans="1:10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3">
        <v>434</v>
      </c>
      <c r="I292" s="3">
        <v>303.58999999999997</v>
      </c>
      <c r="J292" s="3">
        <v>85.52</v>
      </c>
    </row>
    <row r="293" spans="1:10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3">
        <v>401</v>
      </c>
      <c r="I293" s="3">
        <v>171.93</v>
      </c>
      <c r="J293" s="3">
        <v>330.4</v>
      </c>
    </row>
    <row r="294" spans="1:10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3">
        <v>276</v>
      </c>
      <c r="I294" s="3">
        <v>453.23</v>
      </c>
      <c r="J294" s="3">
        <v>209.08</v>
      </c>
    </row>
    <row r="295" spans="1:10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I295" s="3">
        <v>387.45</v>
      </c>
      <c r="J295" s="3">
        <v>150.63999999999999</v>
      </c>
    </row>
    <row r="296" spans="1:10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3">
        <v>188</v>
      </c>
      <c r="I296" s="3">
        <v>136.12</v>
      </c>
      <c r="J296" s="3">
        <v>50.71</v>
      </c>
    </row>
    <row r="297" spans="1:10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3">
        <v>97</v>
      </c>
      <c r="I297" s="3">
        <v>324.42</v>
      </c>
      <c r="J297" s="3">
        <v>294.73</v>
      </c>
    </row>
    <row r="298" spans="1:10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3">
        <v>50</v>
      </c>
      <c r="I298" s="3">
        <v>299.89999999999998</v>
      </c>
      <c r="J298" s="3">
        <v>95.87</v>
      </c>
    </row>
    <row r="299" spans="1:10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3">
        <v>410</v>
      </c>
      <c r="I299" s="3">
        <v>203.59</v>
      </c>
      <c r="J299" s="3">
        <v>149.83000000000001</v>
      </c>
    </row>
    <row r="300" spans="1:10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3">
        <v>85</v>
      </c>
      <c r="I300" s="3">
        <v>186.64</v>
      </c>
      <c r="J300" s="3">
        <v>26.89</v>
      </c>
    </row>
    <row r="301" spans="1:10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3">
        <v>386</v>
      </c>
      <c r="I301" s="3">
        <v>175.06</v>
      </c>
      <c r="J301" s="3">
        <v>320.94</v>
      </c>
    </row>
    <row r="302" spans="1:10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3">
        <v>55</v>
      </c>
      <c r="I302" s="3">
        <v>310.49</v>
      </c>
      <c r="J302" s="3">
        <v>307.10000000000002</v>
      </c>
    </row>
    <row r="303" spans="1:10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3">
        <v>169</v>
      </c>
      <c r="I303" s="3">
        <v>223.99</v>
      </c>
      <c r="J303" s="3">
        <v>293.98</v>
      </c>
    </row>
    <row r="304" spans="1:10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3">
        <v>472</v>
      </c>
      <c r="I304" s="3">
        <v>416.77</v>
      </c>
      <c r="J304" s="3">
        <v>121.18</v>
      </c>
    </row>
    <row r="305" spans="1:10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3">
        <v>89</v>
      </c>
      <c r="I305" s="3">
        <v>336.45</v>
      </c>
      <c r="J305" s="3">
        <v>71.05</v>
      </c>
    </row>
    <row r="306" spans="1:10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3">
        <v>319</v>
      </c>
      <c r="I306" s="3">
        <v>39.619999999999997</v>
      </c>
      <c r="J306" s="3">
        <v>255.75</v>
      </c>
    </row>
    <row r="307" spans="1:10">
      <c r="A307" s="3" t="s">
        <v>334</v>
      </c>
      <c r="B307" s="3" t="s">
        <v>22</v>
      </c>
      <c r="C307" s="3" t="s">
        <v>12</v>
      </c>
      <c r="E307" s="3" t="s">
        <v>14</v>
      </c>
      <c r="F307" s="3" t="s">
        <v>28</v>
      </c>
      <c r="G307" s="4">
        <v>45232</v>
      </c>
      <c r="H307" s="3">
        <v>95</v>
      </c>
      <c r="I307" s="3">
        <v>321.88</v>
      </c>
      <c r="J307" s="3">
        <v>199.47</v>
      </c>
    </row>
    <row r="308" spans="1:10">
      <c r="A308" s="3" t="s">
        <v>335</v>
      </c>
      <c r="B308" s="3" t="s">
        <v>17</v>
      </c>
      <c r="C308" s="3" t="s">
        <v>31</v>
      </c>
      <c r="E308" s="3" t="s">
        <v>24</v>
      </c>
      <c r="F308" s="3" t="s">
        <v>15</v>
      </c>
      <c r="G308" s="4">
        <v>45233</v>
      </c>
      <c r="H308" s="3">
        <v>101</v>
      </c>
      <c r="I308" s="3">
        <v>139.22</v>
      </c>
      <c r="J308" s="3">
        <v>72.94</v>
      </c>
    </row>
    <row r="309" spans="1:10">
      <c r="A309" s="3" t="s">
        <v>336</v>
      </c>
      <c r="B309" s="3" t="s">
        <v>48</v>
      </c>
      <c r="C309" s="3" t="s">
        <v>50</v>
      </c>
      <c r="E309" s="3" t="s">
        <v>14</v>
      </c>
      <c r="F309" s="3" t="s">
        <v>28</v>
      </c>
      <c r="G309" s="4">
        <v>45234</v>
      </c>
      <c r="H309" s="3">
        <v>157</v>
      </c>
      <c r="J309" s="3">
        <v>274.99</v>
      </c>
    </row>
    <row r="310" spans="1:10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3">
        <v>170</v>
      </c>
      <c r="I310" s="3">
        <v>341.67</v>
      </c>
      <c r="J310" s="3">
        <v>396.47</v>
      </c>
    </row>
    <row r="311" spans="1:10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3">
        <v>211</v>
      </c>
      <c r="I311" s="3">
        <v>119.26</v>
      </c>
      <c r="J311" s="3">
        <v>299.39</v>
      </c>
    </row>
    <row r="312" spans="1:10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3">
        <v>433</v>
      </c>
      <c r="I312" s="3">
        <v>231.15</v>
      </c>
      <c r="J312" s="3">
        <v>296.51</v>
      </c>
    </row>
    <row r="313" spans="1:10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3">
        <v>425</v>
      </c>
      <c r="I313" s="3">
        <v>99.21</v>
      </c>
      <c r="J313" s="3">
        <v>380.22</v>
      </c>
    </row>
    <row r="314" spans="1:10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3">
        <v>251</v>
      </c>
      <c r="I314" s="3">
        <v>30.91</v>
      </c>
      <c r="J314" s="3">
        <v>82.77</v>
      </c>
    </row>
    <row r="315" spans="1:10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I315" s="3">
        <v>192.35</v>
      </c>
      <c r="J315" s="3">
        <v>227.09</v>
      </c>
    </row>
    <row r="316" spans="1:10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3">
        <v>11</v>
      </c>
      <c r="I316" s="3">
        <v>184.66</v>
      </c>
      <c r="J316" s="3">
        <v>391.9</v>
      </c>
    </row>
    <row r="317" spans="1:10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3">
        <v>234</v>
      </c>
      <c r="I317" s="3">
        <v>497.76</v>
      </c>
      <c r="J317" s="3">
        <v>67.790000000000006</v>
      </c>
    </row>
    <row r="318" spans="1:10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I318" s="3">
        <v>225.94</v>
      </c>
      <c r="J318" s="3">
        <v>280.7</v>
      </c>
    </row>
    <row r="319" spans="1:10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3">
        <v>242</v>
      </c>
      <c r="I319" s="3">
        <v>170.12</v>
      </c>
      <c r="J319" s="3">
        <v>235.15</v>
      </c>
    </row>
    <row r="320" spans="1:10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3">
        <v>470</v>
      </c>
      <c r="I320" s="3">
        <v>292.33999999999997</v>
      </c>
      <c r="J320" s="3">
        <v>235.42</v>
      </c>
    </row>
    <row r="321" spans="1:10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3">
        <v>423</v>
      </c>
      <c r="I321" s="3">
        <v>48.94</v>
      </c>
      <c r="J321" s="3">
        <v>279.67</v>
      </c>
    </row>
    <row r="322" spans="1:10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3">
        <v>426</v>
      </c>
      <c r="I322" s="3">
        <v>481.02</v>
      </c>
      <c r="J322" s="3">
        <v>371.99</v>
      </c>
    </row>
    <row r="323" spans="1:10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3">
        <v>86</v>
      </c>
      <c r="I323" s="3">
        <v>319.31</v>
      </c>
      <c r="J323" s="3">
        <v>313.47000000000003</v>
      </c>
    </row>
    <row r="324" spans="1:10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3">
        <v>125</v>
      </c>
      <c r="I324" s="3">
        <v>378.64</v>
      </c>
      <c r="J324" s="3">
        <v>24.34</v>
      </c>
    </row>
    <row r="325" spans="1:10">
      <c r="A325" s="3" t="s">
        <v>352</v>
      </c>
      <c r="B325" s="3" t="s">
        <v>48</v>
      </c>
      <c r="C325" s="3" t="s">
        <v>18</v>
      </c>
      <c r="E325" s="3" t="s">
        <v>14</v>
      </c>
      <c r="F325" s="3" t="s">
        <v>15</v>
      </c>
      <c r="G325" s="4">
        <v>45250</v>
      </c>
      <c r="H325" s="3">
        <v>163</v>
      </c>
      <c r="I325" s="3">
        <v>89.39</v>
      </c>
      <c r="J325" s="3">
        <v>341.39</v>
      </c>
    </row>
    <row r="326" spans="1:10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3">
        <v>415</v>
      </c>
      <c r="I326" s="3">
        <v>207.69</v>
      </c>
      <c r="J326" s="3">
        <v>91.77</v>
      </c>
    </row>
    <row r="327" spans="1:10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3">
        <v>112</v>
      </c>
      <c r="I327" s="3">
        <v>214.23</v>
      </c>
      <c r="J327" s="3">
        <v>152.01</v>
      </c>
    </row>
    <row r="328" spans="1:10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3">
        <v>203</v>
      </c>
      <c r="I328" s="3">
        <v>411.79</v>
      </c>
      <c r="J328" s="3">
        <v>185.77</v>
      </c>
    </row>
    <row r="329" spans="1:10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I329" s="3">
        <v>5.61</v>
      </c>
      <c r="J329" s="3">
        <v>193.4</v>
      </c>
    </row>
    <row r="330" spans="1:10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3">
        <v>368</v>
      </c>
      <c r="I330" s="3">
        <v>153.91999999999999</v>
      </c>
      <c r="J330" s="3">
        <v>175.2</v>
      </c>
    </row>
    <row r="331" spans="1:10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3">
        <v>99</v>
      </c>
      <c r="I331" s="3">
        <v>490.71</v>
      </c>
      <c r="J331" s="3">
        <v>375.07</v>
      </c>
    </row>
    <row r="332" spans="1:10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3">
        <v>183</v>
      </c>
      <c r="I332" s="3">
        <v>240.07</v>
      </c>
      <c r="J332" s="3">
        <v>283</v>
      </c>
    </row>
    <row r="333" spans="1:10">
      <c r="A333" s="3" t="s">
        <v>360</v>
      </c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3">
        <v>131</v>
      </c>
      <c r="I333" s="3">
        <v>194.35</v>
      </c>
      <c r="J333" s="3">
        <v>253.21</v>
      </c>
    </row>
    <row r="334" spans="1:10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3">
        <v>152</v>
      </c>
      <c r="I334" s="3">
        <v>64.319999999999993</v>
      </c>
      <c r="J334" s="3">
        <v>21.84</v>
      </c>
    </row>
    <row r="335" spans="1:10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3">
        <v>491</v>
      </c>
      <c r="I335" s="3">
        <v>487.21</v>
      </c>
      <c r="J335" s="3">
        <v>361.76</v>
      </c>
    </row>
    <row r="336" spans="1:10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3">
        <v>115</v>
      </c>
      <c r="I336" s="3">
        <v>14.91</v>
      </c>
      <c r="J336" s="3">
        <v>363.94</v>
      </c>
    </row>
    <row r="337" spans="1:10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3">
        <v>384</v>
      </c>
      <c r="I337" s="3">
        <v>369.9</v>
      </c>
      <c r="J337" s="3">
        <v>312.52</v>
      </c>
    </row>
    <row r="338" spans="1:10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3">
        <v>437</v>
      </c>
      <c r="I338" s="3">
        <v>385.46</v>
      </c>
      <c r="J338" s="3">
        <v>4.8</v>
      </c>
    </row>
    <row r="339" spans="1:10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3">
        <v>314</v>
      </c>
      <c r="I339" s="3">
        <v>125.61</v>
      </c>
      <c r="J339" s="3">
        <v>24.8</v>
      </c>
    </row>
    <row r="340" spans="1:10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3">
        <v>369</v>
      </c>
      <c r="I340" s="3">
        <v>337.42</v>
      </c>
      <c r="J340" s="3">
        <v>91.64</v>
      </c>
    </row>
    <row r="341" spans="1:10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3">
        <v>468</v>
      </c>
      <c r="I341" s="3">
        <v>51</v>
      </c>
      <c r="J341" s="3">
        <v>54.28</v>
      </c>
    </row>
    <row r="342" spans="1:10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3">
        <v>326</v>
      </c>
      <c r="I342" s="3">
        <v>132.24</v>
      </c>
      <c r="J342" s="3">
        <v>160.74</v>
      </c>
    </row>
    <row r="343" spans="1:10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3">
        <v>460</v>
      </c>
      <c r="I343" s="3">
        <v>395.01</v>
      </c>
      <c r="J343" s="3">
        <v>369.2</v>
      </c>
    </row>
    <row r="344" spans="1:10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3">
        <v>132</v>
      </c>
      <c r="I344" s="3">
        <v>433.02</v>
      </c>
      <c r="J344" s="3">
        <v>189.88</v>
      </c>
    </row>
    <row r="345" spans="1:10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3">
        <v>399</v>
      </c>
      <c r="I345" s="3">
        <v>306.2</v>
      </c>
      <c r="J345" s="3">
        <v>7.33</v>
      </c>
    </row>
    <row r="346" spans="1:10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3">
        <v>18</v>
      </c>
      <c r="I346" s="3">
        <v>255.89</v>
      </c>
      <c r="J346" s="3">
        <v>114.53</v>
      </c>
    </row>
    <row r="347" spans="1:10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3">
        <v>271</v>
      </c>
      <c r="I347" s="3">
        <v>83.86</v>
      </c>
      <c r="J347" s="3">
        <v>19.75</v>
      </c>
    </row>
    <row r="348" spans="1:10">
      <c r="A348" s="3" t="s">
        <v>375</v>
      </c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3">
        <v>82</v>
      </c>
      <c r="I348" s="3">
        <v>36.24</v>
      </c>
      <c r="J348" s="3">
        <v>16.440000000000001</v>
      </c>
    </row>
    <row r="349" spans="1:10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3">
        <v>368</v>
      </c>
      <c r="I349" s="3">
        <v>63.24</v>
      </c>
      <c r="J349" s="3">
        <v>111.74</v>
      </c>
    </row>
    <row r="350" spans="1:10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3">
        <v>232</v>
      </c>
      <c r="I350" s="3">
        <v>117.54</v>
      </c>
      <c r="J350" s="3">
        <v>111.69</v>
      </c>
    </row>
    <row r="351" spans="1:10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3">
        <v>425</v>
      </c>
      <c r="I351" s="3">
        <v>174.13</v>
      </c>
      <c r="J351" s="3">
        <v>315.27999999999997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51"/>
  <sheetViews>
    <sheetView topLeftCell="D1" workbookViewId="0">
      <selection activeCell="H342" sqref="H342"/>
    </sheetView>
  </sheetViews>
  <sheetFormatPr defaultColWidth="11.28515625" defaultRowHeight="15"/>
  <cols>
    <col min="5" max="5" width="14.42578125" customWidth="1"/>
    <col min="6" max="6" width="14.28515625" customWidth="1"/>
    <col min="7" max="7" width="15.42578125" bestFit="1" customWidth="1"/>
    <col min="8" max="8" width="11.28515625" customWidth="1"/>
  </cols>
  <sheetData>
    <row r="1" spans="1:19" ht="15.75" thickBo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</row>
    <row r="2" spans="1:19" ht="18.600000000000001" customHeight="1" thickBot="1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6">
        <v>44927</v>
      </c>
      <c r="H2" s="17">
        <v>235</v>
      </c>
      <c r="I2" s="17">
        <v>152.91999999999999</v>
      </c>
      <c r="J2" s="17">
        <v>153.6</v>
      </c>
      <c r="L2" s="39" t="s">
        <v>399</v>
      </c>
      <c r="M2" s="39"/>
      <c r="N2" s="39"/>
      <c r="O2" s="39"/>
      <c r="P2" s="39"/>
      <c r="Q2" s="39"/>
      <c r="R2" s="39"/>
      <c r="S2" s="39"/>
    </row>
    <row r="3" spans="1:19" ht="18.600000000000001" customHeight="1" thickBot="1">
      <c r="A3" s="15" t="s">
        <v>16</v>
      </c>
      <c r="B3" s="15" t="s">
        <v>17</v>
      </c>
      <c r="C3" s="15" t="s">
        <v>18</v>
      </c>
      <c r="D3" s="15" t="s">
        <v>19</v>
      </c>
      <c r="E3" s="15" t="s">
        <v>14</v>
      </c>
      <c r="F3" s="15" t="s">
        <v>20</v>
      </c>
      <c r="G3" s="16">
        <v>44928</v>
      </c>
      <c r="H3" s="17">
        <v>341</v>
      </c>
      <c r="I3" s="17">
        <v>467.92</v>
      </c>
      <c r="J3" s="17">
        <v>139.84</v>
      </c>
      <c r="L3" s="39"/>
      <c r="M3" s="39"/>
      <c r="N3" s="39"/>
      <c r="O3" s="39"/>
      <c r="P3" s="39"/>
      <c r="Q3" s="39"/>
      <c r="R3" s="39"/>
      <c r="S3" s="39"/>
    </row>
    <row r="4" spans="1:19" ht="15.75" thickBot="1">
      <c r="A4" s="15" t="s">
        <v>21</v>
      </c>
      <c r="B4" s="15" t="s">
        <v>22</v>
      </c>
      <c r="C4" s="15" t="s">
        <v>18</v>
      </c>
      <c r="D4" s="15" t="s">
        <v>23</v>
      </c>
      <c r="E4" s="15" t="s">
        <v>24</v>
      </c>
      <c r="F4" s="15" t="s">
        <v>15</v>
      </c>
      <c r="G4" s="16">
        <v>44929</v>
      </c>
      <c r="H4" s="17">
        <v>179</v>
      </c>
      <c r="I4" s="17">
        <v>473.94</v>
      </c>
      <c r="J4" s="17">
        <v>97.14</v>
      </c>
    </row>
    <row r="5" spans="1:19" ht="15.75" thickBot="1">
      <c r="A5" s="15" t="s">
        <v>25</v>
      </c>
      <c r="B5" s="15" t="s">
        <v>11</v>
      </c>
      <c r="C5" s="15" t="s">
        <v>26</v>
      </c>
      <c r="D5" s="15" t="s">
        <v>27</v>
      </c>
      <c r="E5" s="15" t="s">
        <v>24</v>
      </c>
      <c r="F5" s="15" t="s">
        <v>28</v>
      </c>
      <c r="G5" s="16">
        <v>44930</v>
      </c>
      <c r="H5" s="17">
        <v>18</v>
      </c>
      <c r="I5" s="17">
        <v>314.52999999999997</v>
      </c>
      <c r="J5" s="17">
        <v>204.87</v>
      </c>
    </row>
    <row r="6" spans="1:19" ht="15.75" thickBot="1">
      <c r="A6" s="15" t="s">
        <v>29</v>
      </c>
      <c r="B6" s="15" t="s">
        <v>11</v>
      </c>
      <c r="C6" s="15" t="s">
        <v>18</v>
      </c>
      <c r="D6" s="15" t="s">
        <v>27</v>
      </c>
      <c r="E6" s="15" t="s">
        <v>24</v>
      </c>
      <c r="F6" s="15" t="s">
        <v>28</v>
      </c>
      <c r="G6" s="16">
        <v>44931</v>
      </c>
      <c r="H6" s="17">
        <v>472</v>
      </c>
      <c r="I6" s="17">
        <v>392.79</v>
      </c>
      <c r="J6" s="17">
        <v>330.46</v>
      </c>
    </row>
    <row r="7" spans="1:19" ht="15.75" thickBot="1">
      <c r="A7" s="15" t="s">
        <v>30</v>
      </c>
      <c r="B7" s="15" t="s">
        <v>17</v>
      </c>
      <c r="C7" s="15" t="s">
        <v>31</v>
      </c>
      <c r="D7" s="15" t="s">
        <v>23</v>
      </c>
      <c r="E7" s="15" t="s">
        <v>14</v>
      </c>
      <c r="F7" s="15" t="s">
        <v>15</v>
      </c>
      <c r="G7" s="16">
        <v>44932</v>
      </c>
      <c r="H7" s="17">
        <v>49</v>
      </c>
      <c r="I7" s="17">
        <v>308.07</v>
      </c>
      <c r="J7" s="17">
        <v>113.32</v>
      </c>
    </row>
    <row r="8" spans="1:19" ht="15.75" thickBot="1">
      <c r="A8" s="15" t="s">
        <v>32</v>
      </c>
      <c r="B8" s="15" t="s">
        <v>22</v>
      </c>
      <c r="C8" s="15" t="s">
        <v>12</v>
      </c>
      <c r="D8" s="15" t="s">
        <v>23</v>
      </c>
      <c r="E8" s="15" t="s">
        <v>14</v>
      </c>
      <c r="F8" s="15" t="s">
        <v>20</v>
      </c>
      <c r="G8" s="16">
        <v>44933</v>
      </c>
      <c r="H8" s="17">
        <v>34</v>
      </c>
      <c r="I8" s="17">
        <v>244.78</v>
      </c>
      <c r="J8" s="17">
        <v>377.07</v>
      </c>
    </row>
    <row r="9" spans="1:19" ht="15.75" thickBot="1">
      <c r="A9" s="15" t="s">
        <v>33</v>
      </c>
      <c r="B9" s="15" t="s">
        <v>22</v>
      </c>
      <c r="C9" s="15" t="s">
        <v>18</v>
      </c>
      <c r="D9" s="15" t="s">
        <v>13</v>
      </c>
      <c r="E9" s="15" t="s">
        <v>14</v>
      </c>
      <c r="F9" s="15" t="s">
        <v>15</v>
      </c>
      <c r="G9" s="16">
        <v>44934</v>
      </c>
      <c r="H9" s="17">
        <v>270</v>
      </c>
      <c r="I9" s="17">
        <v>332.11</v>
      </c>
      <c r="J9" s="17">
        <v>349.59</v>
      </c>
    </row>
    <row r="10" spans="1:19" ht="15.75" thickBot="1">
      <c r="A10" s="15" t="s">
        <v>34</v>
      </c>
      <c r="B10" s="15" t="s">
        <v>11</v>
      </c>
      <c r="C10" s="15" t="s">
        <v>18</v>
      </c>
      <c r="D10" s="15" t="s">
        <v>13</v>
      </c>
      <c r="E10" s="15" t="s">
        <v>14</v>
      </c>
      <c r="F10" s="15" t="s">
        <v>20</v>
      </c>
      <c r="G10" s="16">
        <v>44935</v>
      </c>
      <c r="H10" s="17">
        <v>404</v>
      </c>
      <c r="I10" s="17">
        <v>278.74</v>
      </c>
      <c r="J10" s="17">
        <v>66.38</v>
      </c>
    </row>
    <row r="11" spans="1:19" ht="15.75" thickBot="1">
      <c r="A11" s="15" t="s">
        <v>35</v>
      </c>
      <c r="B11" s="15"/>
      <c r="C11" s="15" t="s">
        <v>26</v>
      </c>
      <c r="D11" s="15" t="s">
        <v>27</v>
      </c>
      <c r="E11" s="15" t="s">
        <v>14</v>
      </c>
      <c r="F11" s="15" t="s">
        <v>28</v>
      </c>
      <c r="G11" s="16">
        <v>44936</v>
      </c>
      <c r="H11" s="17">
        <v>452</v>
      </c>
      <c r="I11" s="17">
        <v>300.75</v>
      </c>
      <c r="J11" s="17">
        <v>314.94</v>
      </c>
    </row>
    <row r="12" spans="1:19" ht="15.75" thickBot="1">
      <c r="A12" s="15" t="s">
        <v>36</v>
      </c>
      <c r="B12" s="15" t="s">
        <v>11</v>
      </c>
      <c r="C12" s="15" t="s">
        <v>26</v>
      </c>
      <c r="D12" s="15" t="s">
        <v>19</v>
      </c>
      <c r="E12" s="15" t="s">
        <v>14</v>
      </c>
      <c r="F12" s="15" t="s">
        <v>20</v>
      </c>
      <c r="G12" s="16">
        <v>44937</v>
      </c>
      <c r="H12" s="17">
        <v>235</v>
      </c>
      <c r="I12" s="17">
        <v>393</v>
      </c>
      <c r="J12" s="17">
        <v>230.69</v>
      </c>
    </row>
    <row r="13" spans="1:19" ht="15.75" thickBot="1">
      <c r="A13" s="15" t="s">
        <v>37</v>
      </c>
      <c r="B13" s="15" t="s">
        <v>11</v>
      </c>
      <c r="C13" s="15" t="s">
        <v>31</v>
      </c>
      <c r="D13" s="15" t="s">
        <v>27</v>
      </c>
      <c r="E13" s="15" t="s">
        <v>24</v>
      </c>
      <c r="F13" s="15" t="s">
        <v>28</v>
      </c>
      <c r="G13" s="16">
        <v>44938</v>
      </c>
      <c r="H13" s="17">
        <v>481</v>
      </c>
      <c r="I13" s="17">
        <v>243.05</v>
      </c>
      <c r="J13" s="17">
        <v>227.5</v>
      </c>
    </row>
    <row r="14" spans="1:19" ht="15.75" thickBot="1">
      <c r="A14" s="15" t="s">
        <v>38</v>
      </c>
      <c r="B14" s="15" t="s">
        <v>11</v>
      </c>
      <c r="C14" s="15" t="s">
        <v>12</v>
      </c>
      <c r="D14" s="15" t="s">
        <v>19</v>
      </c>
      <c r="E14" s="15" t="s">
        <v>24</v>
      </c>
      <c r="F14" s="15" t="s">
        <v>20</v>
      </c>
      <c r="G14" s="16">
        <v>44939</v>
      </c>
      <c r="H14" s="17">
        <v>133</v>
      </c>
      <c r="I14" s="17">
        <v>25.17</v>
      </c>
      <c r="J14" s="17">
        <v>157.63999999999999</v>
      </c>
    </row>
    <row r="15" spans="1:19" ht="15.75" thickBot="1">
      <c r="A15" s="15" t="s">
        <v>39</v>
      </c>
      <c r="B15" s="15" t="s">
        <v>11</v>
      </c>
      <c r="C15" s="15" t="s">
        <v>26</v>
      </c>
      <c r="D15" s="15" t="s">
        <v>19</v>
      </c>
      <c r="E15" s="15" t="s">
        <v>24</v>
      </c>
      <c r="F15" s="15" t="s">
        <v>20</v>
      </c>
      <c r="G15" s="16">
        <v>44940</v>
      </c>
      <c r="H15" s="17">
        <v>472</v>
      </c>
      <c r="I15" s="17">
        <v>86.18</v>
      </c>
      <c r="J15" s="17">
        <v>201.46</v>
      </c>
    </row>
    <row r="16" spans="1:19" ht="15.75" thickBot="1">
      <c r="A16" s="15" t="s">
        <v>40</v>
      </c>
      <c r="B16" s="15" t="s">
        <v>17</v>
      </c>
      <c r="C16" s="15" t="s">
        <v>18</v>
      </c>
      <c r="D16" s="15" t="s">
        <v>13</v>
      </c>
      <c r="E16" s="15" t="s">
        <v>24</v>
      </c>
      <c r="F16" s="15" t="s">
        <v>20</v>
      </c>
      <c r="G16" s="16">
        <v>44941</v>
      </c>
      <c r="H16" s="17">
        <v>47</v>
      </c>
      <c r="I16" s="17">
        <v>222.11</v>
      </c>
      <c r="J16" s="17">
        <v>160.08000000000001</v>
      </c>
    </row>
    <row r="17" spans="1:10" ht="15.75" thickBot="1">
      <c r="A17" s="15" t="s">
        <v>41</v>
      </c>
      <c r="B17" s="15" t="s">
        <v>22</v>
      </c>
      <c r="C17" s="15" t="s">
        <v>12</v>
      </c>
      <c r="D17" s="15" t="s">
        <v>42</v>
      </c>
      <c r="E17" s="15" t="s">
        <v>14</v>
      </c>
      <c r="F17" s="15" t="s">
        <v>15</v>
      </c>
      <c r="G17" s="16">
        <v>44942</v>
      </c>
      <c r="H17" s="17">
        <v>337</v>
      </c>
      <c r="I17" s="17">
        <v>363.79</v>
      </c>
      <c r="J17" s="17">
        <v>216.81</v>
      </c>
    </row>
    <row r="18" spans="1:10" ht="15.75" thickBot="1">
      <c r="A18" s="15" t="s">
        <v>43</v>
      </c>
      <c r="B18" s="15" t="s">
        <v>17</v>
      </c>
      <c r="C18" s="15" t="s">
        <v>12</v>
      </c>
      <c r="D18" s="15" t="s">
        <v>42</v>
      </c>
      <c r="E18" s="15" t="s">
        <v>14</v>
      </c>
      <c r="F18" s="15" t="s">
        <v>15</v>
      </c>
      <c r="G18" s="16">
        <v>44943</v>
      </c>
      <c r="H18" s="17">
        <v>260</v>
      </c>
      <c r="I18" s="17">
        <v>298.67</v>
      </c>
      <c r="J18" s="17">
        <v>251.92</v>
      </c>
    </row>
    <row r="19" spans="1:10" ht="15.75" thickBot="1">
      <c r="A19" s="15" t="s">
        <v>44</v>
      </c>
      <c r="B19" s="15"/>
      <c r="C19" s="15" t="s">
        <v>18</v>
      </c>
      <c r="D19" s="15" t="s">
        <v>23</v>
      </c>
      <c r="E19" s="15" t="s">
        <v>24</v>
      </c>
      <c r="F19" s="15" t="s">
        <v>28</v>
      </c>
      <c r="G19" s="16">
        <v>44944</v>
      </c>
      <c r="H19" s="17">
        <v>398</v>
      </c>
      <c r="I19" s="17">
        <v>326.89999999999998</v>
      </c>
      <c r="J19" s="17">
        <v>270.37</v>
      </c>
    </row>
    <row r="20" spans="1:10" ht="15.75" thickBot="1">
      <c r="A20" s="15" t="s">
        <v>45</v>
      </c>
      <c r="B20" s="15" t="s">
        <v>17</v>
      </c>
      <c r="C20" s="15" t="s">
        <v>26</v>
      </c>
      <c r="D20" s="15" t="s">
        <v>13</v>
      </c>
      <c r="E20" s="15" t="s">
        <v>14</v>
      </c>
      <c r="F20" s="15" t="s">
        <v>28</v>
      </c>
      <c r="G20" s="16">
        <v>44945</v>
      </c>
      <c r="H20" s="17">
        <v>185</v>
      </c>
      <c r="I20" s="17">
        <v>242.24</v>
      </c>
      <c r="J20" s="17">
        <v>213.93</v>
      </c>
    </row>
    <row r="21" spans="1:10" ht="15.75" thickBot="1">
      <c r="A21" s="15" t="s">
        <v>46</v>
      </c>
      <c r="B21" s="15" t="s">
        <v>11</v>
      </c>
      <c r="C21" s="15" t="s">
        <v>18</v>
      </c>
      <c r="D21" s="15" t="s">
        <v>19</v>
      </c>
      <c r="E21" s="15" t="s">
        <v>24</v>
      </c>
      <c r="F21" s="15" t="s">
        <v>15</v>
      </c>
      <c r="G21" s="16">
        <v>44946</v>
      </c>
      <c r="H21" s="17">
        <v>99</v>
      </c>
      <c r="I21" s="17">
        <v>309.79000000000002</v>
      </c>
      <c r="J21" s="17">
        <v>289.13</v>
      </c>
    </row>
    <row r="22" spans="1:10" ht="15.75" thickBot="1">
      <c r="A22" s="15" t="s">
        <v>47</v>
      </c>
      <c r="B22" s="15" t="s">
        <v>48</v>
      </c>
      <c r="C22" s="15" t="s">
        <v>12</v>
      </c>
      <c r="D22" s="15" t="s">
        <v>42</v>
      </c>
      <c r="E22" s="15" t="s">
        <v>24</v>
      </c>
      <c r="F22" s="15" t="s">
        <v>28</v>
      </c>
      <c r="G22" s="16">
        <v>44947</v>
      </c>
      <c r="H22" s="17">
        <v>411</v>
      </c>
      <c r="I22" s="17">
        <v>167.86</v>
      </c>
      <c r="J22" s="17">
        <v>58.23</v>
      </c>
    </row>
    <row r="23" spans="1:10" ht="15.75" thickBot="1">
      <c r="A23" s="15" t="s">
        <v>49</v>
      </c>
      <c r="B23" s="15" t="s">
        <v>22</v>
      </c>
      <c r="C23" s="15" t="s">
        <v>50</v>
      </c>
      <c r="D23" s="15" t="s">
        <v>19</v>
      </c>
      <c r="E23" s="15" t="s">
        <v>24</v>
      </c>
      <c r="F23" s="15" t="s">
        <v>15</v>
      </c>
      <c r="G23" s="16">
        <v>44948</v>
      </c>
      <c r="H23" s="17">
        <v>463</v>
      </c>
      <c r="I23" s="17">
        <v>237.74</v>
      </c>
      <c r="J23" s="17">
        <v>86.37</v>
      </c>
    </row>
    <row r="24" spans="1:10" ht="15.75" thickBot="1">
      <c r="A24" s="15" t="s">
        <v>51</v>
      </c>
      <c r="B24" s="15" t="s">
        <v>48</v>
      </c>
      <c r="C24" s="15" t="s">
        <v>50</v>
      </c>
      <c r="D24" s="15" t="s">
        <v>42</v>
      </c>
      <c r="E24" s="15" t="s">
        <v>14</v>
      </c>
      <c r="F24" s="15" t="s">
        <v>20</v>
      </c>
      <c r="G24" s="16">
        <v>44949</v>
      </c>
      <c r="H24" s="17">
        <v>46</v>
      </c>
      <c r="I24" s="17">
        <v>373.42</v>
      </c>
      <c r="J24" s="17">
        <v>327.86</v>
      </c>
    </row>
    <row r="25" spans="1:10" ht="15.75" thickBot="1">
      <c r="A25" s="15" t="s">
        <v>52</v>
      </c>
      <c r="B25" s="15" t="s">
        <v>17</v>
      </c>
      <c r="C25" s="15" t="s">
        <v>31</v>
      </c>
      <c r="D25" s="15" t="s">
        <v>42</v>
      </c>
      <c r="E25" s="15" t="s">
        <v>24</v>
      </c>
      <c r="F25" s="15" t="s">
        <v>28</v>
      </c>
      <c r="G25" s="16">
        <v>44950</v>
      </c>
      <c r="H25" s="17">
        <v>325</v>
      </c>
      <c r="I25" s="17">
        <v>436.56</v>
      </c>
      <c r="J25" s="17">
        <v>130.37</v>
      </c>
    </row>
    <row r="26" spans="1:10" ht="15.75" thickBot="1">
      <c r="A26" s="15" t="s">
        <v>53</v>
      </c>
      <c r="B26" s="15" t="s">
        <v>17</v>
      </c>
      <c r="C26" s="15" t="s">
        <v>18</v>
      </c>
      <c r="D26" s="15"/>
      <c r="E26" s="15" t="s">
        <v>24</v>
      </c>
      <c r="F26" s="15" t="s">
        <v>28</v>
      </c>
      <c r="G26" s="16">
        <v>44951</v>
      </c>
      <c r="H26" s="17">
        <v>185</v>
      </c>
      <c r="I26" s="17">
        <v>219.66</v>
      </c>
      <c r="J26" s="17">
        <v>11.11</v>
      </c>
    </row>
    <row r="27" spans="1:10" ht="15.75" thickBot="1">
      <c r="A27" s="15" t="s">
        <v>54</v>
      </c>
      <c r="B27" s="15" t="s">
        <v>48</v>
      </c>
      <c r="C27" s="15" t="s">
        <v>18</v>
      </c>
      <c r="D27" s="15" t="s">
        <v>13</v>
      </c>
      <c r="E27" s="15" t="s">
        <v>24</v>
      </c>
      <c r="F27" s="15" t="s">
        <v>15</v>
      </c>
      <c r="G27" s="16">
        <v>44952</v>
      </c>
      <c r="H27" s="17">
        <v>470</v>
      </c>
      <c r="I27" s="17">
        <v>26.61</v>
      </c>
      <c r="J27" s="17">
        <v>63.21</v>
      </c>
    </row>
    <row r="28" spans="1:10" ht="15.75" thickBot="1">
      <c r="A28" s="15" t="s">
        <v>55</v>
      </c>
      <c r="B28" s="15" t="s">
        <v>48</v>
      </c>
      <c r="C28" s="15" t="s">
        <v>31</v>
      </c>
      <c r="D28" s="15" t="s">
        <v>27</v>
      </c>
      <c r="E28" s="15" t="s">
        <v>14</v>
      </c>
      <c r="F28" s="15" t="s">
        <v>28</v>
      </c>
      <c r="G28" s="16">
        <v>44953</v>
      </c>
      <c r="H28" s="17">
        <v>293</v>
      </c>
      <c r="I28" s="17">
        <v>85.03</v>
      </c>
      <c r="J28" s="17">
        <v>91</v>
      </c>
    </row>
    <row r="29" spans="1:10" ht="15.75" thickBot="1">
      <c r="A29" s="15" t="s">
        <v>56</v>
      </c>
      <c r="B29" s="15" t="s">
        <v>48</v>
      </c>
      <c r="C29" s="15" t="s">
        <v>31</v>
      </c>
      <c r="D29" s="15" t="s">
        <v>19</v>
      </c>
      <c r="E29" s="15" t="s">
        <v>14</v>
      </c>
      <c r="F29" s="15" t="s">
        <v>28</v>
      </c>
      <c r="G29" s="16">
        <v>44954</v>
      </c>
      <c r="H29" s="17">
        <v>462</v>
      </c>
      <c r="I29" s="15"/>
      <c r="J29" s="17">
        <v>383.01</v>
      </c>
    </row>
    <row r="30" spans="1:10" ht="15.75" thickBot="1">
      <c r="A30" s="15" t="s">
        <v>57</v>
      </c>
      <c r="B30" s="15" t="s">
        <v>17</v>
      </c>
      <c r="C30" s="15" t="s">
        <v>31</v>
      </c>
      <c r="D30" s="15" t="s">
        <v>13</v>
      </c>
      <c r="E30" s="15" t="s">
        <v>24</v>
      </c>
      <c r="F30" s="15" t="s">
        <v>20</v>
      </c>
      <c r="G30" s="16">
        <v>44955</v>
      </c>
      <c r="H30" s="17">
        <v>470</v>
      </c>
      <c r="I30" s="17">
        <v>328.37</v>
      </c>
      <c r="J30" s="17">
        <v>230.07</v>
      </c>
    </row>
    <row r="31" spans="1:10" ht="15.75" thickBot="1">
      <c r="A31" s="15" t="s">
        <v>58</v>
      </c>
      <c r="B31" s="15" t="s">
        <v>17</v>
      </c>
      <c r="C31" s="15" t="s">
        <v>12</v>
      </c>
      <c r="D31" s="15" t="s">
        <v>13</v>
      </c>
      <c r="E31" s="15" t="s">
        <v>14</v>
      </c>
      <c r="F31" s="15" t="s">
        <v>28</v>
      </c>
      <c r="G31" s="16">
        <v>44956</v>
      </c>
      <c r="H31" s="17">
        <v>90</v>
      </c>
      <c r="I31" s="17">
        <v>169.5</v>
      </c>
      <c r="J31" s="17">
        <v>373.23</v>
      </c>
    </row>
    <row r="32" spans="1:10" ht="15.75" thickBot="1">
      <c r="A32" s="15" t="s">
        <v>59</v>
      </c>
      <c r="B32" s="15"/>
      <c r="C32" s="15" t="s">
        <v>18</v>
      </c>
      <c r="D32" s="15" t="s">
        <v>13</v>
      </c>
      <c r="E32" s="15" t="s">
        <v>14</v>
      </c>
      <c r="F32" s="15" t="s">
        <v>20</v>
      </c>
      <c r="G32" s="16">
        <v>44957</v>
      </c>
      <c r="H32" s="17">
        <v>123</v>
      </c>
      <c r="I32" s="17">
        <v>273.52999999999997</v>
      </c>
      <c r="J32" s="17">
        <v>230.92</v>
      </c>
    </row>
    <row r="33" spans="1:10" ht="15.75" thickBot="1">
      <c r="A33" s="15" t="s">
        <v>60</v>
      </c>
      <c r="B33" s="15" t="s">
        <v>22</v>
      </c>
      <c r="C33" s="15" t="s">
        <v>12</v>
      </c>
      <c r="D33" s="15" t="s">
        <v>13</v>
      </c>
      <c r="E33" s="15" t="s">
        <v>14</v>
      </c>
      <c r="F33" s="15" t="s">
        <v>15</v>
      </c>
      <c r="G33" s="16">
        <v>44958</v>
      </c>
      <c r="H33" s="17">
        <v>49</v>
      </c>
      <c r="I33" s="17">
        <v>249.17</v>
      </c>
      <c r="J33" s="17">
        <v>192.78</v>
      </c>
    </row>
    <row r="34" spans="1:10" ht="15.75" thickBot="1">
      <c r="A34" s="15" t="s">
        <v>61</v>
      </c>
      <c r="B34" s="15" t="s">
        <v>17</v>
      </c>
      <c r="C34" s="15" t="s">
        <v>31</v>
      </c>
      <c r="D34" s="15" t="s">
        <v>13</v>
      </c>
      <c r="E34" s="15" t="s">
        <v>14</v>
      </c>
      <c r="F34" s="15" t="s">
        <v>28</v>
      </c>
      <c r="G34" s="16">
        <v>44959</v>
      </c>
      <c r="H34" s="17">
        <v>310</v>
      </c>
      <c r="I34" s="17">
        <v>45.36</v>
      </c>
      <c r="J34" s="17">
        <v>126.86</v>
      </c>
    </row>
    <row r="35" spans="1:10" ht="15.75" thickBot="1">
      <c r="A35" s="15" t="s">
        <v>62</v>
      </c>
      <c r="B35" s="15" t="s">
        <v>48</v>
      </c>
      <c r="C35" s="15" t="s">
        <v>18</v>
      </c>
      <c r="D35" s="15" t="s">
        <v>23</v>
      </c>
      <c r="E35" s="15" t="s">
        <v>14</v>
      </c>
      <c r="F35" s="15" t="s">
        <v>20</v>
      </c>
      <c r="G35" s="16">
        <v>44960</v>
      </c>
      <c r="H35" s="17">
        <v>233</v>
      </c>
      <c r="I35" s="17">
        <v>204.61</v>
      </c>
      <c r="J35" s="17">
        <v>243.34</v>
      </c>
    </row>
    <row r="36" spans="1:10" ht="15.75" thickBot="1">
      <c r="A36" s="15" t="s">
        <v>63</v>
      </c>
      <c r="B36" s="15" t="s">
        <v>48</v>
      </c>
      <c r="C36" s="15" t="s">
        <v>12</v>
      </c>
      <c r="D36" s="15" t="s">
        <v>19</v>
      </c>
      <c r="E36" s="15" t="s">
        <v>14</v>
      </c>
      <c r="F36" s="15" t="s">
        <v>15</v>
      </c>
      <c r="G36" s="16">
        <v>44961</v>
      </c>
      <c r="H36" s="17">
        <v>327</v>
      </c>
      <c r="I36" s="17">
        <v>114.18</v>
      </c>
      <c r="J36" s="17">
        <v>57.4</v>
      </c>
    </row>
    <row r="37" spans="1:10" ht="15.75" thickBot="1">
      <c r="A37" s="15" t="s">
        <v>64</v>
      </c>
      <c r="B37" s="15" t="s">
        <v>22</v>
      </c>
      <c r="C37" s="15" t="s">
        <v>12</v>
      </c>
      <c r="D37" s="15" t="s">
        <v>13</v>
      </c>
      <c r="E37" s="15" t="s">
        <v>14</v>
      </c>
      <c r="F37" s="15" t="s">
        <v>28</v>
      </c>
      <c r="G37" s="16">
        <v>44962</v>
      </c>
      <c r="H37" s="17">
        <v>358</v>
      </c>
      <c r="I37" s="17">
        <v>212.11</v>
      </c>
      <c r="J37" s="17">
        <v>359.51</v>
      </c>
    </row>
    <row r="38" spans="1:10" ht="15.75" thickBot="1">
      <c r="A38" s="15" t="s">
        <v>65</v>
      </c>
      <c r="B38" s="15" t="s">
        <v>17</v>
      </c>
      <c r="C38" s="15" t="s">
        <v>31</v>
      </c>
      <c r="D38" s="15" t="s">
        <v>19</v>
      </c>
      <c r="E38" s="15" t="s">
        <v>14</v>
      </c>
      <c r="F38" s="15" t="s">
        <v>15</v>
      </c>
      <c r="G38" s="16">
        <v>44963</v>
      </c>
      <c r="H38" s="17">
        <v>124</v>
      </c>
      <c r="I38" s="15"/>
      <c r="J38" s="17">
        <v>332.07</v>
      </c>
    </row>
    <row r="39" spans="1:10" ht="15.75" thickBot="1">
      <c r="A39" s="15" t="s">
        <v>66</v>
      </c>
      <c r="B39" s="15" t="s">
        <v>22</v>
      </c>
      <c r="C39" s="15" t="s">
        <v>18</v>
      </c>
      <c r="D39" s="15" t="s">
        <v>23</v>
      </c>
      <c r="E39" s="15" t="s">
        <v>14</v>
      </c>
      <c r="F39" s="15" t="s">
        <v>28</v>
      </c>
      <c r="G39" s="16">
        <v>44964</v>
      </c>
      <c r="H39" s="17">
        <v>195</v>
      </c>
      <c r="I39" s="17">
        <v>421.02</v>
      </c>
      <c r="J39" s="17">
        <v>128.38</v>
      </c>
    </row>
    <row r="40" spans="1:10" ht="15.75" thickBot="1">
      <c r="A40" s="15" t="s">
        <v>67</v>
      </c>
      <c r="B40" s="15" t="s">
        <v>22</v>
      </c>
      <c r="C40" s="15" t="s">
        <v>31</v>
      </c>
      <c r="D40" s="15" t="s">
        <v>23</v>
      </c>
      <c r="E40" s="15" t="s">
        <v>14</v>
      </c>
      <c r="F40" s="15" t="s">
        <v>15</v>
      </c>
      <c r="G40" s="16">
        <v>44965</v>
      </c>
      <c r="H40" s="15"/>
      <c r="I40" s="17">
        <v>91.23</v>
      </c>
      <c r="J40" s="17">
        <v>381.21</v>
      </c>
    </row>
    <row r="41" spans="1:10" ht="15.75" thickBot="1">
      <c r="A41" s="15" t="s">
        <v>68</v>
      </c>
      <c r="B41" s="15" t="s">
        <v>11</v>
      </c>
      <c r="C41" s="15" t="s">
        <v>18</v>
      </c>
      <c r="D41" s="15" t="s">
        <v>19</v>
      </c>
      <c r="E41" s="15" t="s">
        <v>24</v>
      </c>
      <c r="F41" s="15" t="s">
        <v>15</v>
      </c>
      <c r="G41" s="16">
        <v>44966</v>
      </c>
      <c r="H41" s="17">
        <v>65</v>
      </c>
      <c r="I41" s="17">
        <v>480.59</v>
      </c>
      <c r="J41" s="17">
        <v>330.43</v>
      </c>
    </row>
    <row r="42" spans="1:10" ht="15.75" thickBot="1">
      <c r="A42" s="15" t="s">
        <v>69</v>
      </c>
      <c r="B42" s="15" t="s">
        <v>11</v>
      </c>
      <c r="C42" s="15" t="s">
        <v>50</v>
      </c>
      <c r="D42" s="15" t="s">
        <v>42</v>
      </c>
      <c r="E42" s="15" t="s">
        <v>24</v>
      </c>
      <c r="F42" s="15" t="s">
        <v>20</v>
      </c>
      <c r="G42" s="16">
        <v>44967</v>
      </c>
      <c r="H42" s="17">
        <v>49</v>
      </c>
      <c r="I42" s="17">
        <v>210.87</v>
      </c>
      <c r="J42" s="17">
        <v>267.19</v>
      </c>
    </row>
    <row r="43" spans="1:10" ht="15.75" thickBot="1">
      <c r="A43" s="15" t="s">
        <v>70</v>
      </c>
      <c r="B43" s="15" t="s">
        <v>11</v>
      </c>
      <c r="C43" s="15" t="s">
        <v>26</v>
      </c>
      <c r="D43" s="15" t="s">
        <v>27</v>
      </c>
      <c r="E43" s="15" t="s">
        <v>14</v>
      </c>
      <c r="F43" s="15" t="s">
        <v>15</v>
      </c>
      <c r="G43" s="16">
        <v>44968</v>
      </c>
      <c r="H43" s="17">
        <v>363</v>
      </c>
      <c r="I43" s="17">
        <v>423.89</v>
      </c>
      <c r="J43" s="17">
        <v>50.46</v>
      </c>
    </row>
    <row r="44" spans="1:10" ht="15.75" thickBot="1">
      <c r="A44" s="15" t="s">
        <v>71</v>
      </c>
      <c r="B44" s="15" t="s">
        <v>48</v>
      </c>
      <c r="C44" s="15" t="s">
        <v>26</v>
      </c>
      <c r="D44" s="15" t="s">
        <v>42</v>
      </c>
      <c r="E44" s="15" t="s">
        <v>24</v>
      </c>
      <c r="F44" s="15" t="s">
        <v>28</v>
      </c>
      <c r="G44" s="16">
        <v>44969</v>
      </c>
      <c r="H44" s="17">
        <v>49</v>
      </c>
      <c r="I44" s="17">
        <v>316.24</v>
      </c>
      <c r="J44" s="17">
        <v>192.34</v>
      </c>
    </row>
    <row r="45" spans="1:10" ht="15.75" thickBot="1">
      <c r="A45" s="15" t="s">
        <v>72</v>
      </c>
      <c r="B45" s="15" t="s">
        <v>17</v>
      </c>
      <c r="C45" s="15" t="s">
        <v>26</v>
      </c>
      <c r="D45" s="15" t="s">
        <v>42</v>
      </c>
      <c r="E45" s="15" t="s">
        <v>24</v>
      </c>
      <c r="F45" s="15" t="s">
        <v>28</v>
      </c>
      <c r="G45" s="16">
        <v>44970</v>
      </c>
      <c r="H45" s="17">
        <v>356</v>
      </c>
      <c r="I45" s="17">
        <v>369</v>
      </c>
      <c r="J45" s="17">
        <v>203.43</v>
      </c>
    </row>
    <row r="46" spans="1:10" ht="15.75" thickBot="1">
      <c r="A46" s="15" t="s">
        <v>73</v>
      </c>
      <c r="B46" s="15" t="s">
        <v>17</v>
      </c>
      <c r="C46" s="15" t="s">
        <v>31</v>
      </c>
      <c r="D46" s="15" t="s">
        <v>42</v>
      </c>
      <c r="E46" s="15" t="s">
        <v>14</v>
      </c>
      <c r="F46" s="15" t="s">
        <v>20</v>
      </c>
      <c r="G46" s="16">
        <v>44971</v>
      </c>
      <c r="H46" s="17">
        <v>470</v>
      </c>
      <c r="I46" s="15"/>
      <c r="J46" s="17">
        <v>94.56</v>
      </c>
    </row>
    <row r="47" spans="1:10" ht="15.75" thickBot="1">
      <c r="A47" s="15" t="s">
        <v>74</v>
      </c>
      <c r="B47" s="15" t="s">
        <v>17</v>
      </c>
      <c r="C47" s="15" t="s">
        <v>50</v>
      </c>
      <c r="D47" s="15" t="s">
        <v>13</v>
      </c>
      <c r="E47" s="15" t="s">
        <v>14</v>
      </c>
      <c r="F47" s="15" t="s">
        <v>28</v>
      </c>
      <c r="G47" s="16">
        <v>44972</v>
      </c>
      <c r="H47" s="17">
        <v>246</v>
      </c>
      <c r="I47" s="17">
        <v>254.9</v>
      </c>
      <c r="J47" s="17">
        <v>33.83</v>
      </c>
    </row>
    <row r="48" spans="1:10" ht="15.75" thickBot="1">
      <c r="A48" s="15" t="s">
        <v>75</v>
      </c>
      <c r="B48" s="15" t="s">
        <v>17</v>
      </c>
      <c r="C48" s="15" t="s">
        <v>18</v>
      </c>
      <c r="D48" s="15" t="s">
        <v>23</v>
      </c>
      <c r="E48" s="15" t="s">
        <v>14</v>
      </c>
      <c r="F48" s="15" t="s">
        <v>28</v>
      </c>
      <c r="G48" s="16">
        <v>44973</v>
      </c>
      <c r="H48" s="17">
        <v>298</v>
      </c>
      <c r="I48" s="17">
        <v>273.93</v>
      </c>
      <c r="J48" s="17">
        <v>311.14</v>
      </c>
    </row>
    <row r="49" spans="1:10" ht="15.75" thickBot="1">
      <c r="A49" s="15" t="s">
        <v>76</v>
      </c>
      <c r="B49" s="15" t="s">
        <v>11</v>
      </c>
      <c r="C49" s="15" t="s">
        <v>12</v>
      </c>
      <c r="D49" s="15" t="s">
        <v>42</v>
      </c>
      <c r="E49" s="15" t="s">
        <v>24</v>
      </c>
      <c r="F49" s="15" t="s">
        <v>28</v>
      </c>
      <c r="G49" s="16">
        <v>44974</v>
      </c>
      <c r="H49" s="17">
        <v>271</v>
      </c>
      <c r="I49" s="17">
        <v>259.43</v>
      </c>
      <c r="J49" s="17">
        <v>50.57</v>
      </c>
    </row>
    <row r="50" spans="1:10" ht="15.75" thickBot="1">
      <c r="A50" s="15" t="s">
        <v>77</v>
      </c>
      <c r="B50" s="15" t="s">
        <v>48</v>
      </c>
      <c r="C50" s="15" t="s">
        <v>18</v>
      </c>
      <c r="D50" s="15" t="s">
        <v>23</v>
      </c>
      <c r="E50" s="15" t="s">
        <v>24</v>
      </c>
      <c r="F50" s="15" t="s">
        <v>15</v>
      </c>
      <c r="G50" s="16">
        <v>44975</v>
      </c>
      <c r="H50" s="17">
        <v>225</v>
      </c>
      <c r="I50" s="17">
        <v>296.08999999999997</v>
      </c>
      <c r="J50" s="17">
        <v>238.53</v>
      </c>
    </row>
    <row r="51" spans="1:10" ht="15.75" thickBot="1">
      <c r="A51" s="15" t="s">
        <v>78</v>
      </c>
      <c r="B51" s="15"/>
      <c r="C51" s="15" t="s">
        <v>12</v>
      </c>
      <c r="D51" s="15" t="s">
        <v>19</v>
      </c>
      <c r="E51" s="15" t="s">
        <v>14</v>
      </c>
      <c r="F51" s="15" t="s">
        <v>15</v>
      </c>
      <c r="G51" s="16">
        <v>44976</v>
      </c>
      <c r="H51" s="17">
        <v>156</v>
      </c>
      <c r="I51" s="17">
        <v>19.55</v>
      </c>
      <c r="J51" s="17">
        <v>374.71</v>
      </c>
    </row>
    <row r="52" spans="1:10" ht="15.75" thickBot="1">
      <c r="A52" s="15" t="s">
        <v>79</v>
      </c>
      <c r="B52" s="15" t="s">
        <v>11</v>
      </c>
      <c r="C52" s="15" t="s">
        <v>18</v>
      </c>
      <c r="D52" s="15" t="s">
        <v>27</v>
      </c>
      <c r="E52" s="15" t="s">
        <v>14</v>
      </c>
      <c r="F52" s="15" t="s">
        <v>28</v>
      </c>
      <c r="G52" s="16">
        <v>44977</v>
      </c>
      <c r="H52" s="17">
        <v>345</v>
      </c>
      <c r="I52" s="17">
        <v>200.78</v>
      </c>
      <c r="J52" s="17">
        <v>350.69</v>
      </c>
    </row>
    <row r="53" spans="1:10" ht="15.75" thickBot="1">
      <c r="A53" s="15" t="s">
        <v>80</v>
      </c>
      <c r="B53" s="15" t="s">
        <v>48</v>
      </c>
      <c r="C53" s="15" t="s">
        <v>50</v>
      </c>
      <c r="D53" s="15" t="s">
        <v>19</v>
      </c>
      <c r="E53" s="15" t="s">
        <v>14</v>
      </c>
      <c r="F53" s="15" t="s">
        <v>20</v>
      </c>
      <c r="G53" s="16">
        <v>44978</v>
      </c>
      <c r="H53" s="17">
        <v>177</v>
      </c>
      <c r="I53" s="17">
        <v>305.06</v>
      </c>
      <c r="J53" s="17">
        <v>112.55</v>
      </c>
    </row>
    <row r="54" spans="1:10" ht="15.75" thickBot="1">
      <c r="A54" s="15" t="s">
        <v>81</v>
      </c>
      <c r="B54" s="15" t="s">
        <v>11</v>
      </c>
      <c r="C54" s="15" t="s">
        <v>12</v>
      </c>
      <c r="D54" s="15" t="s">
        <v>19</v>
      </c>
      <c r="E54" s="15" t="s">
        <v>24</v>
      </c>
      <c r="F54" s="15" t="s">
        <v>15</v>
      </c>
      <c r="G54" s="16">
        <v>44979</v>
      </c>
      <c r="H54" s="17">
        <v>101</v>
      </c>
      <c r="I54" s="17">
        <v>300.87</v>
      </c>
      <c r="J54" s="17">
        <v>340.88</v>
      </c>
    </row>
    <row r="55" spans="1:10" ht="15.75" thickBot="1">
      <c r="A55" s="15" t="s">
        <v>82</v>
      </c>
      <c r="B55" s="15" t="s">
        <v>17</v>
      </c>
      <c r="C55" s="15" t="s">
        <v>31</v>
      </c>
      <c r="D55" s="15" t="s">
        <v>13</v>
      </c>
      <c r="E55" s="15" t="s">
        <v>24</v>
      </c>
      <c r="F55" s="15" t="s">
        <v>20</v>
      </c>
      <c r="G55" s="16">
        <v>44980</v>
      </c>
      <c r="H55" s="17">
        <v>362</v>
      </c>
      <c r="I55" s="17">
        <v>397.51</v>
      </c>
      <c r="J55" s="17">
        <v>2.13</v>
      </c>
    </row>
    <row r="56" spans="1:10" ht="15.75" thickBot="1">
      <c r="A56" s="15" t="s">
        <v>83</v>
      </c>
      <c r="B56" s="15" t="s">
        <v>11</v>
      </c>
      <c r="C56" s="15" t="s">
        <v>18</v>
      </c>
      <c r="D56" s="15" t="s">
        <v>27</v>
      </c>
      <c r="E56" s="15" t="s">
        <v>24</v>
      </c>
      <c r="F56" s="15" t="s">
        <v>28</v>
      </c>
      <c r="G56" s="16">
        <v>44981</v>
      </c>
      <c r="H56" s="17">
        <v>68</v>
      </c>
      <c r="I56" s="17">
        <v>329.23</v>
      </c>
      <c r="J56" s="17">
        <v>9.0399999999999991</v>
      </c>
    </row>
    <row r="57" spans="1:10" ht="15.75" thickBot="1">
      <c r="A57" s="15" t="s">
        <v>84</v>
      </c>
      <c r="B57" s="15" t="s">
        <v>17</v>
      </c>
      <c r="C57" s="15" t="s">
        <v>18</v>
      </c>
      <c r="D57" s="15" t="s">
        <v>19</v>
      </c>
      <c r="E57" s="15" t="s">
        <v>24</v>
      </c>
      <c r="F57" s="15" t="s">
        <v>28</v>
      </c>
      <c r="G57" s="16">
        <v>44982</v>
      </c>
      <c r="H57" s="17">
        <v>68</v>
      </c>
      <c r="I57" s="17">
        <v>496.11</v>
      </c>
      <c r="J57" s="17">
        <v>241.82</v>
      </c>
    </row>
    <row r="58" spans="1:10" ht="15.75" thickBot="1">
      <c r="A58" s="15" t="s">
        <v>85</v>
      </c>
      <c r="B58" s="15" t="s">
        <v>17</v>
      </c>
      <c r="C58" s="15" t="s">
        <v>12</v>
      </c>
      <c r="D58" s="15" t="s">
        <v>19</v>
      </c>
      <c r="E58" s="15" t="s">
        <v>14</v>
      </c>
      <c r="F58" s="15" t="s">
        <v>15</v>
      </c>
      <c r="G58" s="16">
        <v>44983</v>
      </c>
      <c r="H58" s="17">
        <v>313</v>
      </c>
      <c r="I58" s="17">
        <v>145.51</v>
      </c>
      <c r="J58" s="17">
        <v>147.19</v>
      </c>
    </row>
    <row r="59" spans="1:10" ht="15.75" thickBot="1">
      <c r="A59" s="15" t="s">
        <v>86</v>
      </c>
      <c r="B59" s="15" t="s">
        <v>22</v>
      </c>
      <c r="C59" s="15" t="s">
        <v>31</v>
      </c>
      <c r="D59" s="15" t="s">
        <v>27</v>
      </c>
      <c r="E59" s="15" t="s">
        <v>14</v>
      </c>
      <c r="F59" s="15" t="s">
        <v>28</v>
      </c>
      <c r="G59" s="16">
        <v>44984</v>
      </c>
      <c r="H59" s="17">
        <v>178</v>
      </c>
      <c r="I59" s="17">
        <v>182.78</v>
      </c>
      <c r="J59" s="17">
        <v>155.81</v>
      </c>
    </row>
    <row r="60" spans="1:10" ht="15.75" thickBot="1">
      <c r="A60" s="15" t="s">
        <v>87</v>
      </c>
      <c r="B60" s="15" t="s">
        <v>11</v>
      </c>
      <c r="C60" s="15" t="s">
        <v>31</v>
      </c>
      <c r="D60" s="15" t="s">
        <v>27</v>
      </c>
      <c r="E60" s="15" t="s">
        <v>14</v>
      </c>
      <c r="F60" s="15" t="s">
        <v>15</v>
      </c>
      <c r="G60" s="16">
        <v>44985</v>
      </c>
      <c r="H60" s="17">
        <v>278</v>
      </c>
      <c r="I60" s="17">
        <v>195</v>
      </c>
      <c r="J60" s="17">
        <v>226.65</v>
      </c>
    </row>
    <row r="61" spans="1:10" ht="15.75" thickBot="1">
      <c r="A61" s="15" t="s">
        <v>88</v>
      </c>
      <c r="B61" s="15" t="s">
        <v>22</v>
      </c>
      <c r="C61" s="15" t="s">
        <v>50</v>
      </c>
      <c r="D61" s="15" t="s">
        <v>19</v>
      </c>
      <c r="E61" s="15" t="s">
        <v>14</v>
      </c>
      <c r="F61" s="15" t="s">
        <v>28</v>
      </c>
      <c r="G61" s="16">
        <v>44986</v>
      </c>
      <c r="H61" s="17">
        <v>372</v>
      </c>
      <c r="I61" s="17">
        <v>235.58</v>
      </c>
      <c r="J61" s="17">
        <v>78.33</v>
      </c>
    </row>
    <row r="62" spans="1:10" ht="15.75" thickBot="1">
      <c r="A62" s="15" t="s">
        <v>89</v>
      </c>
      <c r="B62" s="15" t="s">
        <v>11</v>
      </c>
      <c r="C62" s="15" t="s">
        <v>31</v>
      </c>
      <c r="D62" s="15" t="s">
        <v>27</v>
      </c>
      <c r="E62" s="15" t="s">
        <v>24</v>
      </c>
      <c r="F62" s="15" t="s">
        <v>28</v>
      </c>
      <c r="G62" s="16">
        <v>44987</v>
      </c>
      <c r="H62" s="17">
        <v>54</v>
      </c>
      <c r="I62" s="17">
        <v>418.82</v>
      </c>
      <c r="J62" s="17">
        <v>86.28</v>
      </c>
    </row>
    <row r="63" spans="1:10" ht="15.75" thickBot="1">
      <c r="A63" s="15" t="s">
        <v>90</v>
      </c>
      <c r="B63" s="15" t="s">
        <v>11</v>
      </c>
      <c r="C63" s="15" t="s">
        <v>31</v>
      </c>
      <c r="D63" s="15" t="s">
        <v>19</v>
      </c>
      <c r="E63" s="15" t="s">
        <v>24</v>
      </c>
      <c r="F63" s="15" t="s">
        <v>15</v>
      </c>
      <c r="G63" s="16">
        <v>44988</v>
      </c>
      <c r="H63" s="17">
        <v>354</v>
      </c>
      <c r="I63" s="17">
        <v>121.72</v>
      </c>
      <c r="J63" s="17">
        <v>194.87</v>
      </c>
    </row>
    <row r="64" spans="1:10" ht="15.75" thickBot="1">
      <c r="A64" s="15" t="s">
        <v>91</v>
      </c>
      <c r="B64" s="15" t="s">
        <v>22</v>
      </c>
      <c r="C64" s="15" t="s">
        <v>31</v>
      </c>
      <c r="D64" s="15" t="s">
        <v>19</v>
      </c>
      <c r="E64" s="15" t="s">
        <v>14</v>
      </c>
      <c r="F64" s="15" t="s">
        <v>15</v>
      </c>
      <c r="G64" s="16">
        <v>44989</v>
      </c>
      <c r="H64" s="17">
        <v>190</v>
      </c>
      <c r="I64" s="17">
        <v>389.12</v>
      </c>
      <c r="J64" s="17">
        <v>302.19</v>
      </c>
    </row>
    <row r="65" spans="1:10" ht="15.75" thickBot="1">
      <c r="A65" s="15" t="s">
        <v>92</v>
      </c>
      <c r="B65" s="15"/>
      <c r="C65" s="15" t="s">
        <v>26</v>
      </c>
      <c r="D65" s="15" t="s">
        <v>13</v>
      </c>
      <c r="E65" s="15" t="s">
        <v>14</v>
      </c>
      <c r="F65" s="15" t="s">
        <v>15</v>
      </c>
      <c r="G65" s="16">
        <v>44990</v>
      </c>
      <c r="H65" s="17">
        <v>179</v>
      </c>
      <c r="I65" s="17">
        <v>205.63</v>
      </c>
      <c r="J65" s="17">
        <v>248.56</v>
      </c>
    </row>
    <row r="66" spans="1:10" ht="15.75" thickBot="1">
      <c r="A66" s="15" t="s">
        <v>93</v>
      </c>
      <c r="B66" s="15" t="s">
        <v>11</v>
      </c>
      <c r="C66" s="15" t="s">
        <v>50</v>
      </c>
      <c r="D66" s="15" t="s">
        <v>42</v>
      </c>
      <c r="E66" s="15" t="s">
        <v>24</v>
      </c>
      <c r="F66" s="15" t="s">
        <v>28</v>
      </c>
      <c r="G66" s="16">
        <v>44991</v>
      </c>
      <c r="H66" s="17">
        <v>365</v>
      </c>
      <c r="I66" s="17">
        <v>302.92</v>
      </c>
      <c r="J66" s="17">
        <v>120.35</v>
      </c>
    </row>
    <row r="67" spans="1:10" ht="15.75" thickBot="1">
      <c r="A67" s="15" t="s">
        <v>94</v>
      </c>
      <c r="B67" s="15" t="s">
        <v>48</v>
      </c>
      <c r="C67" s="15" t="s">
        <v>18</v>
      </c>
      <c r="D67" s="15" t="s">
        <v>19</v>
      </c>
      <c r="E67" s="15" t="s">
        <v>14</v>
      </c>
      <c r="F67" s="15" t="s">
        <v>28</v>
      </c>
      <c r="G67" s="16">
        <v>44992</v>
      </c>
      <c r="H67" s="17">
        <v>200</v>
      </c>
      <c r="I67" s="17">
        <v>318.11</v>
      </c>
      <c r="J67" s="17">
        <v>173.27</v>
      </c>
    </row>
    <row r="68" spans="1:10" ht="15.75" thickBot="1">
      <c r="A68" s="15" t="s">
        <v>95</v>
      </c>
      <c r="B68" s="15" t="s">
        <v>17</v>
      </c>
      <c r="C68" s="15" t="s">
        <v>12</v>
      </c>
      <c r="D68" s="15" t="s">
        <v>23</v>
      </c>
      <c r="E68" s="15" t="s">
        <v>24</v>
      </c>
      <c r="F68" s="15" t="s">
        <v>20</v>
      </c>
      <c r="G68" s="16">
        <v>44993</v>
      </c>
      <c r="H68" s="17">
        <v>164</v>
      </c>
      <c r="I68" s="17">
        <v>189.56</v>
      </c>
      <c r="J68" s="17">
        <v>69.92</v>
      </c>
    </row>
    <row r="69" spans="1:10" ht="15.75" thickBot="1">
      <c r="A69" s="15" t="s">
        <v>96</v>
      </c>
      <c r="B69" s="15" t="s">
        <v>22</v>
      </c>
      <c r="C69" s="15" t="s">
        <v>18</v>
      </c>
      <c r="D69" s="15" t="s">
        <v>42</v>
      </c>
      <c r="E69" s="15" t="s">
        <v>14</v>
      </c>
      <c r="F69" s="15" t="s">
        <v>15</v>
      </c>
      <c r="G69" s="16">
        <v>44994</v>
      </c>
      <c r="H69" s="17">
        <v>431</v>
      </c>
      <c r="I69" s="17">
        <v>258.74</v>
      </c>
      <c r="J69" s="17">
        <v>31.7</v>
      </c>
    </row>
    <row r="70" spans="1:10" ht="15.75" thickBot="1">
      <c r="A70" s="15" t="s">
        <v>97</v>
      </c>
      <c r="B70" s="15" t="s">
        <v>17</v>
      </c>
      <c r="C70" s="15" t="s">
        <v>50</v>
      </c>
      <c r="D70" s="15" t="s">
        <v>42</v>
      </c>
      <c r="E70" s="15" t="s">
        <v>14</v>
      </c>
      <c r="F70" s="15" t="s">
        <v>28</v>
      </c>
      <c r="G70" s="16">
        <v>44995</v>
      </c>
      <c r="H70" s="17">
        <v>197</v>
      </c>
      <c r="I70" s="17">
        <v>209.45</v>
      </c>
      <c r="J70" s="17">
        <v>313.51</v>
      </c>
    </row>
    <row r="71" spans="1:10" ht="15.75" thickBot="1">
      <c r="A71" s="15" t="s">
        <v>98</v>
      </c>
      <c r="B71" s="15" t="s">
        <v>48</v>
      </c>
      <c r="C71" s="15" t="s">
        <v>12</v>
      </c>
      <c r="D71" s="15" t="s">
        <v>42</v>
      </c>
      <c r="E71" s="15" t="s">
        <v>14</v>
      </c>
      <c r="F71" s="15" t="s">
        <v>28</v>
      </c>
      <c r="G71" s="16">
        <v>44996</v>
      </c>
      <c r="H71" s="17">
        <v>16</v>
      </c>
      <c r="I71" s="17">
        <v>39.22</v>
      </c>
      <c r="J71" s="17">
        <v>107.62</v>
      </c>
    </row>
    <row r="72" spans="1:10" ht="15.75" thickBot="1">
      <c r="A72" s="15" t="s">
        <v>99</v>
      </c>
      <c r="B72" s="15" t="s">
        <v>48</v>
      </c>
      <c r="C72" s="15" t="s">
        <v>50</v>
      </c>
      <c r="D72" s="15" t="s">
        <v>13</v>
      </c>
      <c r="E72" s="15" t="s">
        <v>14</v>
      </c>
      <c r="F72" s="15" t="s">
        <v>15</v>
      </c>
      <c r="G72" s="16">
        <v>44997</v>
      </c>
      <c r="H72" s="17">
        <v>142</v>
      </c>
      <c r="I72" s="17">
        <v>221.4</v>
      </c>
      <c r="J72" s="17">
        <v>72.75</v>
      </c>
    </row>
    <row r="73" spans="1:10" ht="15.75" thickBot="1">
      <c r="A73" s="15" t="s">
        <v>100</v>
      </c>
      <c r="B73" s="15" t="s">
        <v>48</v>
      </c>
      <c r="C73" s="15" t="s">
        <v>31</v>
      </c>
      <c r="D73" s="15" t="s">
        <v>19</v>
      </c>
      <c r="E73" s="15" t="s">
        <v>14</v>
      </c>
      <c r="F73" s="15" t="s">
        <v>20</v>
      </c>
      <c r="G73" s="16">
        <v>44998</v>
      </c>
      <c r="H73" s="17">
        <v>244</v>
      </c>
      <c r="I73" s="17">
        <v>53.21</v>
      </c>
      <c r="J73" s="17">
        <v>277.26</v>
      </c>
    </row>
    <row r="74" spans="1:10" ht="15.75" thickBot="1">
      <c r="A74" s="15" t="s">
        <v>101</v>
      </c>
      <c r="B74" s="15" t="s">
        <v>22</v>
      </c>
      <c r="C74" s="15" t="s">
        <v>12</v>
      </c>
      <c r="D74" s="15" t="s">
        <v>13</v>
      </c>
      <c r="E74" s="15" t="s">
        <v>14</v>
      </c>
      <c r="F74" s="15" t="s">
        <v>15</v>
      </c>
      <c r="G74" s="16">
        <v>44999</v>
      </c>
      <c r="H74" s="17">
        <v>54</v>
      </c>
      <c r="I74" s="17">
        <v>205.49</v>
      </c>
      <c r="J74" s="17">
        <v>247.98</v>
      </c>
    </row>
    <row r="75" spans="1:10" ht="15.75" thickBot="1">
      <c r="A75" s="15" t="s">
        <v>102</v>
      </c>
      <c r="B75" s="15" t="s">
        <v>48</v>
      </c>
      <c r="C75" s="15" t="s">
        <v>31</v>
      </c>
      <c r="D75" s="15" t="s">
        <v>19</v>
      </c>
      <c r="E75" s="15" t="s">
        <v>14</v>
      </c>
      <c r="F75" s="15" t="s">
        <v>20</v>
      </c>
      <c r="G75" s="16">
        <v>45000</v>
      </c>
      <c r="H75" s="17">
        <v>323</v>
      </c>
      <c r="I75" s="17">
        <v>298.49</v>
      </c>
      <c r="J75" s="17">
        <v>254.01</v>
      </c>
    </row>
    <row r="76" spans="1:10" ht="15.75" thickBot="1">
      <c r="A76" s="15" t="s">
        <v>103</v>
      </c>
      <c r="B76" s="15" t="s">
        <v>22</v>
      </c>
      <c r="C76" s="15" t="s">
        <v>18</v>
      </c>
      <c r="D76" s="15" t="s">
        <v>13</v>
      </c>
      <c r="E76" s="15" t="s">
        <v>24</v>
      </c>
      <c r="F76" s="15" t="s">
        <v>28</v>
      </c>
      <c r="G76" s="16">
        <v>45001</v>
      </c>
      <c r="H76" s="17">
        <v>258</v>
      </c>
      <c r="I76" s="17">
        <v>291.81</v>
      </c>
      <c r="J76" s="17">
        <v>93.1</v>
      </c>
    </row>
    <row r="77" spans="1:10" ht="15.75" thickBot="1">
      <c r="A77" s="15" t="s">
        <v>104</v>
      </c>
      <c r="B77" s="15" t="s">
        <v>48</v>
      </c>
      <c r="C77" s="15" t="s">
        <v>18</v>
      </c>
      <c r="D77" s="15" t="s">
        <v>13</v>
      </c>
      <c r="E77" s="15" t="s">
        <v>24</v>
      </c>
      <c r="F77" s="15" t="s">
        <v>20</v>
      </c>
      <c r="G77" s="16">
        <v>45002</v>
      </c>
      <c r="H77" s="17">
        <v>40</v>
      </c>
      <c r="I77" s="17">
        <v>333</v>
      </c>
      <c r="J77" s="17">
        <v>94.59</v>
      </c>
    </row>
    <row r="78" spans="1:10" ht="15.75" thickBot="1">
      <c r="A78" s="15" t="s">
        <v>105</v>
      </c>
      <c r="B78" s="15" t="s">
        <v>17</v>
      </c>
      <c r="C78" s="15" t="s">
        <v>12</v>
      </c>
      <c r="D78" s="15" t="s">
        <v>23</v>
      </c>
      <c r="E78" s="15" t="s">
        <v>24</v>
      </c>
      <c r="F78" s="15" t="s">
        <v>28</v>
      </c>
      <c r="G78" s="16">
        <v>45003</v>
      </c>
      <c r="H78" s="17">
        <v>32</v>
      </c>
      <c r="I78" s="17">
        <v>52.15</v>
      </c>
      <c r="J78" s="17">
        <v>89.88</v>
      </c>
    </row>
    <row r="79" spans="1:10" ht="15.75" thickBot="1">
      <c r="A79" s="15" t="s">
        <v>106</v>
      </c>
      <c r="B79" s="15" t="s">
        <v>17</v>
      </c>
      <c r="C79" s="15" t="s">
        <v>12</v>
      </c>
      <c r="D79" s="15" t="s">
        <v>13</v>
      </c>
      <c r="E79" s="15" t="s">
        <v>24</v>
      </c>
      <c r="F79" s="15" t="s">
        <v>15</v>
      </c>
      <c r="G79" s="16">
        <v>45004</v>
      </c>
      <c r="H79" s="17">
        <v>435</v>
      </c>
      <c r="I79" s="17">
        <v>327.8</v>
      </c>
      <c r="J79" s="17">
        <v>71.150000000000006</v>
      </c>
    </row>
    <row r="80" spans="1:10" ht="15.75" thickBot="1">
      <c r="A80" s="15" t="s">
        <v>107</v>
      </c>
      <c r="B80" s="15" t="s">
        <v>11</v>
      </c>
      <c r="C80" s="15" t="s">
        <v>50</v>
      </c>
      <c r="D80" s="15" t="s">
        <v>27</v>
      </c>
      <c r="E80" s="15" t="s">
        <v>24</v>
      </c>
      <c r="F80" s="15" t="s">
        <v>15</v>
      </c>
      <c r="G80" s="16">
        <v>45005</v>
      </c>
      <c r="H80" s="17">
        <v>403</v>
      </c>
      <c r="I80" s="17">
        <v>159.51</v>
      </c>
      <c r="J80" s="17">
        <v>262.98</v>
      </c>
    </row>
    <row r="81" spans="1:10" ht="15.75" thickBot="1">
      <c r="A81" s="15" t="s">
        <v>108</v>
      </c>
      <c r="B81" s="15" t="s">
        <v>17</v>
      </c>
      <c r="C81" s="15" t="s">
        <v>50</v>
      </c>
      <c r="D81" s="15" t="s">
        <v>23</v>
      </c>
      <c r="E81" s="15" t="s">
        <v>14</v>
      </c>
      <c r="F81" s="15" t="s">
        <v>15</v>
      </c>
      <c r="G81" s="16">
        <v>45006</v>
      </c>
      <c r="H81" s="17">
        <v>169</v>
      </c>
      <c r="I81" s="15"/>
      <c r="J81" s="17">
        <v>339.51</v>
      </c>
    </row>
    <row r="82" spans="1:10" ht="15.75" thickBot="1">
      <c r="A82" s="15" t="s">
        <v>109</v>
      </c>
      <c r="B82" s="15" t="s">
        <v>11</v>
      </c>
      <c r="C82" s="15" t="s">
        <v>31</v>
      </c>
      <c r="D82" s="15" t="s">
        <v>13</v>
      </c>
      <c r="E82" s="15" t="s">
        <v>14</v>
      </c>
      <c r="F82" s="15" t="s">
        <v>20</v>
      </c>
      <c r="G82" s="16">
        <v>45007</v>
      </c>
      <c r="H82" s="17">
        <v>372</v>
      </c>
      <c r="I82" s="17">
        <v>429.7</v>
      </c>
      <c r="J82" s="17">
        <v>290.27999999999997</v>
      </c>
    </row>
    <row r="83" spans="1:10" ht="15.75" thickBot="1">
      <c r="A83" s="15" t="s">
        <v>110</v>
      </c>
      <c r="B83" s="15" t="s">
        <v>17</v>
      </c>
      <c r="C83" s="15" t="s">
        <v>12</v>
      </c>
      <c r="D83" s="15" t="s">
        <v>42</v>
      </c>
      <c r="E83" s="15" t="s">
        <v>24</v>
      </c>
      <c r="F83" s="15" t="s">
        <v>28</v>
      </c>
      <c r="G83" s="16">
        <v>45008</v>
      </c>
      <c r="H83" s="17">
        <v>446</v>
      </c>
      <c r="I83" s="17">
        <v>9.4700000000000006</v>
      </c>
      <c r="J83" s="17">
        <v>317.25</v>
      </c>
    </row>
    <row r="84" spans="1:10" ht="15.75" thickBot="1">
      <c r="A84" s="15" t="s">
        <v>111</v>
      </c>
      <c r="B84" s="15" t="s">
        <v>22</v>
      </c>
      <c r="C84" s="15" t="s">
        <v>18</v>
      </c>
      <c r="D84" s="15" t="s">
        <v>27</v>
      </c>
      <c r="E84" s="15" t="s">
        <v>14</v>
      </c>
      <c r="F84" s="15" t="s">
        <v>15</v>
      </c>
      <c r="G84" s="16">
        <v>45009</v>
      </c>
      <c r="H84" s="17">
        <v>167</v>
      </c>
      <c r="I84" s="17">
        <v>296.26</v>
      </c>
      <c r="J84" s="17">
        <v>163.11000000000001</v>
      </c>
    </row>
    <row r="85" spans="1:10" ht="15.75" thickBot="1">
      <c r="A85" s="15" t="s">
        <v>112</v>
      </c>
      <c r="B85" s="15" t="s">
        <v>17</v>
      </c>
      <c r="C85" s="15" t="s">
        <v>50</v>
      </c>
      <c r="D85" s="15" t="s">
        <v>27</v>
      </c>
      <c r="E85" s="15" t="s">
        <v>24</v>
      </c>
      <c r="F85" s="15" t="s">
        <v>15</v>
      </c>
      <c r="G85" s="16">
        <v>45010</v>
      </c>
      <c r="H85" s="17">
        <v>48</v>
      </c>
      <c r="I85" s="17">
        <v>301.36</v>
      </c>
      <c r="J85" s="17">
        <v>262.32</v>
      </c>
    </row>
    <row r="86" spans="1:10" ht="15.75" thickBot="1">
      <c r="A86" s="15" t="s">
        <v>113</v>
      </c>
      <c r="B86" s="15" t="s">
        <v>11</v>
      </c>
      <c r="C86" s="15" t="s">
        <v>50</v>
      </c>
      <c r="D86" s="15" t="s">
        <v>27</v>
      </c>
      <c r="E86" s="15" t="s">
        <v>24</v>
      </c>
      <c r="F86" s="15" t="s">
        <v>28</v>
      </c>
      <c r="G86" s="16">
        <v>45011</v>
      </c>
      <c r="H86" s="17">
        <v>424</v>
      </c>
      <c r="I86" s="17">
        <v>201.35</v>
      </c>
      <c r="J86" s="17">
        <v>142.99</v>
      </c>
    </row>
    <row r="87" spans="1:10" ht="15.75" thickBot="1">
      <c r="A87" s="15" t="s">
        <v>114</v>
      </c>
      <c r="B87" s="15" t="s">
        <v>11</v>
      </c>
      <c r="C87" s="15" t="s">
        <v>18</v>
      </c>
      <c r="D87" s="15" t="s">
        <v>23</v>
      </c>
      <c r="E87" s="15" t="s">
        <v>14</v>
      </c>
      <c r="F87" s="15" t="s">
        <v>15</v>
      </c>
      <c r="G87" s="16">
        <v>45012</v>
      </c>
      <c r="H87" s="17">
        <v>91</v>
      </c>
      <c r="I87" s="17">
        <v>122.33</v>
      </c>
      <c r="J87" s="17">
        <v>211.15</v>
      </c>
    </row>
    <row r="88" spans="1:10" ht="15.75" thickBot="1">
      <c r="A88" s="15" t="s">
        <v>115</v>
      </c>
      <c r="B88" s="15" t="s">
        <v>48</v>
      </c>
      <c r="C88" s="15" t="s">
        <v>50</v>
      </c>
      <c r="D88" s="15" t="s">
        <v>13</v>
      </c>
      <c r="E88" s="15" t="s">
        <v>14</v>
      </c>
      <c r="F88" s="15" t="s">
        <v>28</v>
      </c>
      <c r="G88" s="16">
        <v>45013</v>
      </c>
      <c r="H88" s="17">
        <v>365</v>
      </c>
      <c r="I88" s="17">
        <v>121.16</v>
      </c>
      <c r="J88" s="17">
        <v>193.69</v>
      </c>
    </row>
    <row r="89" spans="1:10" ht="15.75" thickBot="1">
      <c r="A89" s="15" t="s">
        <v>116</v>
      </c>
      <c r="B89" s="15" t="s">
        <v>22</v>
      </c>
      <c r="C89" s="15" t="s">
        <v>31</v>
      </c>
      <c r="D89" s="15" t="s">
        <v>13</v>
      </c>
      <c r="E89" s="15" t="s">
        <v>14</v>
      </c>
      <c r="F89" s="15" t="s">
        <v>28</v>
      </c>
      <c r="G89" s="16">
        <v>45014</v>
      </c>
      <c r="H89" s="17">
        <v>267</v>
      </c>
      <c r="I89" s="17">
        <v>442.44</v>
      </c>
      <c r="J89" s="17">
        <v>72.400000000000006</v>
      </c>
    </row>
    <row r="90" spans="1:10" ht="15.75" thickBot="1">
      <c r="A90" s="15" t="s">
        <v>117</v>
      </c>
      <c r="B90" s="15" t="s">
        <v>17</v>
      </c>
      <c r="C90" s="15" t="s">
        <v>12</v>
      </c>
      <c r="D90" s="15" t="s">
        <v>42</v>
      </c>
      <c r="E90" s="15" t="s">
        <v>24</v>
      </c>
      <c r="F90" s="15" t="s">
        <v>28</v>
      </c>
      <c r="G90" s="16">
        <v>45015</v>
      </c>
      <c r="H90" s="17">
        <v>215</v>
      </c>
      <c r="I90" s="17">
        <v>223.8</v>
      </c>
      <c r="J90" s="17">
        <v>156.06</v>
      </c>
    </row>
    <row r="91" spans="1:10" ht="15.75" thickBot="1">
      <c r="A91" s="15" t="s">
        <v>118</v>
      </c>
      <c r="B91" s="15" t="s">
        <v>48</v>
      </c>
      <c r="C91" s="15" t="s">
        <v>18</v>
      </c>
      <c r="D91" s="15" t="s">
        <v>42</v>
      </c>
      <c r="E91" s="15" t="s">
        <v>14</v>
      </c>
      <c r="F91" s="15" t="s">
        <v>28</v>
      </c>
      <c r="G91" s="16">
        <v>45016</v>
      </c>
      <c r="H91" s="17">
        <v>86</v>
      </c>
      <c r="I91" s="17">
        <v>168.79</v>
      </c>
      <c r="J91" s="17">
        <v>385.6</v>
      </c>
    </row>
    <row r="92" spans="1:10" ht="15.75" thickBot="1">
      <c r="A92" s="15" t="s">
        <v>119</v>
      </c>
      <c r="B92" s="15" t="s">
        <v>17</v>
      </c>
      <c r="C92" s="15" t="s">
        <v>12</v>
      </c>
      <c r="D92" s="15" t="s">
        <v>27</v>
      </c>
      <c r="E92" s="15" t="s">
        <v>24</v>
      </c>
      <c r="F92" s="15" t="s">
        <v>28</v>
      </c>
      <c r="G92" s="16">
        <v>45017</v>
      </c>
      <c r="H92" s="17">
        <v>486</v>
      </c>
      <c r="I92" s="17">
        <v>227.14</v>
      </c>
      <c r="J92" s="17">
        <v>100.93</v>
      </c>
    </row>
    <row r="93" spans="1:10" ht="15.75" thickBot="1">
      <c r="A93" s="15" t="s">
        <v>120</v>
      </c>
      <c r="B93" s="15" t="s">
        <v>17</v>
      </c>
      <c r="C93" s="15" t="s">
        <v>50</v>
      </c>
      <c r="D93" s="15" t="s">
        <v>42</v>
      </c>
      <c r="E93" s="15" t="s">
        <v>24</v>
      </c>
      <c r="F93" s="15" t="s">
        <v>20</v>
      </c>
      <c r="G93" s="16">
        <v>45018</v>
      </c>
      <c r="H93" s="17">
        <v>21</v>
      </c>
      <c r="I93" s="15"/>
      <c r="J93" s="17">
        <v>55.25</v>
      </c>
    </row>
    <row r="94" spans="1:10" ht="15.75" thickBot="1">
      <c r="A94" s="15" t="s">
        <v>121</v>
      </c>
      <c r="B94" s="15" t="s">
        <v>48</v>
      </c>
      <c r="C94" s="15" t="s">
        <v>50</v>
      </c>
      <c r="D94" s="15" t="s">
        <v>23</v>
      </c>
      <c r="E94" s="15" t="s">
        <v>24</v>
      </c>
      <c r="F94" s="15" t="s">
        <v>15</v>
      </c>
      <c r="G94" s="16">
        <v>45019</v>
      </c>
      <c r="H94" s="17">
        <v>304</v>
      </c>
      <c r="I94" s="17">
        <v>77.150000000000006</v>
      </c>
      <c r="J94" s="17">
        <v>168.6</v>
      </c>
    </row>
    <row r="95" spans="1:10" ht="15.75" thickBot="1">
      <c r="A95" s="15" t="s">
        <v>122</v>
      </c>
      <c r="B95" s="15" t="s">
        <v>48</v>
      </c>
      <c r="C95" s="15" t="s">
        <v>18</v>
      </c>
      <c r="D95" s="15" t="s">
        <v>13</v>
      </c>
      <c r="E95" s="15" t="s">
        <v>14</v>
      </c>
      <c r="F95" s="15" t="s">
        <v>20</v>
      </c>
      <c r="G95" s="16">
        <v>45020</v>
      </c>
      <c r="H95" s="17">
        <v>459</v>
      </c>
      <c r="I95" s="17">
        <v>227.47</v>
      </c>
      <c r="J95" s="17">
        <v>316.55</v>
      </c>
    </row>
    <row r="96" spans="1:10" ht="15.75" thickBot="1">
      <c r="A96" s="15" t="s">
        <v>123</v>
      </c>
      <c r="B96" s="15" t="s">
        <v>48</v>
      </c>
      <c r="C96" s="15" t="s">
        <v>31</v>
      </c>
      <c r="D96" s="15" t="s">
        <v>27</v>
      </c>
      <c r="E96" s="15" t="s">
        <v>14</v>
      </c>
      <c r="F96" s="15" t="s">
        <v>15</v>
      </c>
      <c r="G96" s="16">
        <v>45021</v>
      </c>
      <c r="H96" s="17">
        <v>233</v>
      </c>
      <c r="I96" s="17">
        <v>296</v>
      </c>
      <c r="J96" s="17">
        <v>233.69</v>
      </c>
    </row>
    <row r="97" spans="1:10" ht="15.75" thickBot="1">
      <c r="A97" s="15" t="s">
        <v>124</v>
      </c>
      <c r="B97" s="15" t="s">
        <v>48</v>
      </c>
      <c r="C97" s="15" t="s">
        <v>26</v>
      </c>
      <c r="D97" s="15" t="s">
        <v>42</v>
      </c>
      <c r="E97" s="15" t="s">
        <v>24</v>
      </c>
      <c r="F97" s="15" t="s">
        <v>20</v>
      </c>
      <c r="G97" s="16">
        <v>45022</v>
      </c>
      <c r="H97" s="17">
        <v>22</v>
      </c>
      <c r="I97" s="17">
        <v>474.55</v>
      </c>
      <c r="J97" s="17">
        <v>273.02999999999997</v>
      </c>
    </row>
    <row r="98" spans="1:10" ht="15.75" thickBot="1">
      <c r="A98" s="15" t="s">
        <v>125</v>
      </c>
      <c r="B98" s="15" t="s">
        <v>48</v>
      </c>
      <c r="C98" s="15" t="s">
        <v>18</v>
      </c>
      <c r="D98" s="15" t="s">
        <v>23</v>
      </c>
      <c r="E98" s="15" t="s">
        <v>14</v>
      </c>
      <c r="F98" s="15" t="s">
        <v>28</v>
      </c>
      <c r="G98" s="16">
        <v>45023</v>
      </c>
      <c r="H98" s="17">
        <v>55</v>
      </c>
      <c r="I98" s="17">
        <v>130</v>
      </c>
      <c r="J98" s="17">
        <v>77.5</v>
      </c>
    </row>
    <row r="99" spans="1:10" ht="15.75" thickBot="1">
      <c r="A99" s="15" t="s">
        <v>126</v>
      </c>
      <c r="B99" s="15" t="s">
        <v>17</v>
      </c>
      <c r="C99" s="15" t="s">
        <v>26</v>
      </c>
      <c r="D99" s="15" t="s">
        <v>23</v>
      </c>
      <c r="E99" s="15" t="s">
        <v>14</v>
      </c>
      <c r="F99" s="15" t="s">
        <v>15</v>
      </c>
      <c r="G99" s="16">
        <v>45024</v>
      </c>
      <c r="H99" s="17">
        <v>164</v>
      </c>
      <c r="I99" s="17">
        <v>182.83</v>
      </c>
      <c r="J99" s="17">
        <v>248.34</v>
      </c>
    </row>
    <row r="100" spans="1:10" ht="15.75" thickBot="1">
      <c r="A100" s="15" t="s">
        <v>127</v>
      </c>
      <c r="B100" s="15" t="s">
        <v>48</v>
      </c>
      <c r="C100" s="15" t="s">
        <v>26</v>
      </c>
      <c r="D100" s="15" t="s">
        <v>42</v>
      </c>
      <c r="E100" s="15" t="s">
        <v>14</v>
      </c>
      <c r="F100" s="15" t="s">
        <v>15</v>
      </c>
      <c r="G100" s="16">
        <v>45025</v>
      </c>
      <c r="H100" s="17">
        <v>122</v>
      </c>
      <c r="I100" s="17">
        <v>192.78</v>
      </c>
      <c r="J100" s="17">
        <v>130.75</v>
      </c>
    </row>
    <row r="101" spans="1:10" ht="15.75" thickBot="1">
      <c r="A101" s="15" t="s">
        <v>128</v>
      </c>
      <c r="B101" s="15" t="s">
        <v>22</v>
      </c>
      <c r="C101" s="15" t="s">
        <v>31</v>
      </c>
      <c r="D101" s="15" t="s">
        <v>13</v>
      </c>
      <c r="E101" s="15" t="s">
        <v>24</v>
      </c>
      <c r="F101" s="15" t="s">
        <v>20</v>
      </c>
      <c r="G101" s="16">
        <v>45026</v>
      </c>
      <c r="H101" s="17">
        <v>242</v>
      </c>
      <c r="I101" s="17">
        <v>304.74</v>
      </c>
      <c r="J101" s="17">
        <v>334.05</v>
      </c>
    </row>
    <row r="102" spans="1:10" ht="15.75" thickBot="1">
      <c r="A102" s="15" t="s">
        <v>129</v>
      </c>
      <c r="B102" s="15" t="s">
        <v>11</v>
      </c>
      <c r="C102" s="15" t="s">
        <v>26</v>
      </c>
      <c r="D102" s="15" t="s">
        <v>42</v>
      </c>
      <c r="E102" s="15" t="s">
        <v>24</v>
      </c>
      <c r="F102" s="15" t="s">
        <v>20</v>
      </c>
      <c r="G102" s="16">
        <v>45027</v>
      </c>
      <c r="H102" s="17">
        <v>26</v>
      </c>
      <c r="I102" s="17">
        <v>181.58</v>
      </c>
      <c r="J102" s="17">
        <v>252.46</v>
      </c>
    </row>
    <row r="103" spans="1:10" ht="15.75" thickBot="1">
      <c r="A103" s="15" t="s">
        <v>130</v>
      </c>
      <c r="B103" s="15" t="s">
        <v>48</v>
      </c>
      <c r="C103" s="15" t="s">
        <v>26</v>
      </c>
      <c r="D103" s="15" t="s">
        <v>27</v>
      </c>
      <c r="E103" s="15" t="s">
        <v>14</v>
      </c>
      <c r="F103" s="15" t="s">
        <v>15</v>
      </c>
      <c r="G103" s="16">
        <v>45028</v>
      </c>
      <c r="H103" s="17">
        <v>369</v>
      </c>
      <c r="I103" s="17">
        <v>269.08999999999997</v>
      </c>
      <c r="J103" s="17">
        <v>81.14</v>
      </c>
    </row>
    <row r="104" spans="1:10" ht="15.75" thickBot="1">
      <c r="A104" s="15" t="s">
        <v>131</v>
      </c>
      <c r="B104" s="15" t="s">
        <v>48</v>
      </c>
      <c r="C104" s="15" t="s">
        <v>31</v>
      </c>
      <c r="D104" s="15" t="s">
        <v>42</v>
      </c>
      <c r="E104" s="15" t="s">
        <v>24</v>
      </c>
      <c r="F104" s="15" t="s">
        <v>20</v>
      </c>
      <c r="G104" s="16">
        <v>45029</v>
      </c>
      <c r="H104" s="17">
        <v>232</v>
      </c>
      <c r="I104" s="17">
        <v>391.99</v>
      </c>
      <c r="J104" s="17">
        <v>27.72</v>
      </c>
    </row>
    <row r="105" spans="1:10" ht="15.75" thickBot="1">
      <c r="A105" s="15" t="s">
        <v>132</v>
      </c>
      <c r="B105" s="15" t="s">
        <v>17</v>
      </c>
      <c r="C105" s="15" t="s">
        <v>26</v>
      </c>
      <c r="D105" s="15" t="s">
        <v>23</v>
      </c>
      <c r="E105" s="15" t="s">
        <v>14</v>
      </c>
      <c r="F105" s="15" t="s">
        <v>20</v>
      </c>
      <c r="G105" s="16">
        <v>45030</v>
      </c>
      <c r="H105" s="17">
        <v>363</v>
      </c>
      <c r="I105" s="17">
        <v>354.17</v>
      </c>
      <c r="J105" s="17">
        <v>18.97</v>
      </c>
    </row>
    <row r="106" spans="1:10" ht="15.75" thickBot="1">
      <c r="A106" s="15" t="s">
        <v>133</v>
      </c>
      <c r="B106" s="15" t="s">
        <v>48</v>
      </c>
      <c r="C106" s="15" t="s">
        <v>26</v>
      </c>
      <c r="D106" s="15" t="s">
        <v>42</v>
      </c>
      <c r="E106" s="15" t="s">
        <v>14</v>
      </c>
      <c r="F106" s="15" t="s">
        <v>20</v>
      </c>
      <c r="G106" s="16">
        <v>45031</v>
      </c>
      <c r="H106" s="17">
        <v>197</v>
      </c>
      <c r="I106" s="17">
        <v>225.95</v>
      </c>
      <c r="J106" s="17">
        <v>149.82</v>
      </c>
    </row>
    <row r="107" spans="1:10" ht="15.75" thickBot="1">
      <c r="A107" s="15" t="s">
        <v>134</v>
      </c>
      <c r="B107" s="15" t="s">
        <v>48</v>
      </c>
      <c r="C107" s="15" t="s">
        <v>26</v>
      </c>
      <c r="D107" s="15" t="s">
        <v>13</v>
      </c>
      <c r="E107" s="15" t="s">
        <v>14</v>
      </c>
      <c r="F107" s="15" t="s">
        <v>28</v>
      </c>
      <c r="G107" s="16">
        <v>45032</v>
      </c>
      <c r="H107" s="17">
        <v>457</v>
      </c>
      <c r="I107" s="17">
        <v>432.79</v>
      </c>
      <c r="J107" s="17">
        <v>107.81</v>
      </c>
    </row>
    <row r="108" spans="1:10" ht="15.75" thickBot="1">
      <c r="A108" s="15" t="s">
        <v>135</v>
      </c>
      <c r="B108" s="15" t="s">
        <v>48</v>
      </c>
      <c r="C108" s="15" t="s">
        <v>18</v>
      </c>
      <c r="D108" s="15" t="s">
        <v>19</v>
      </c>
      <c r="E108" s="15" t="s">
        <v>14</v>
      </c>
      <c r="F108" s="15" t="s">
        <v>28</v>
      </c>
      <c r="G108" s="16">
        <v>45033</v>
      </c>
      <c r="H108" s="17">
        <v>353</v>
      </c>
      <c r="I108" s="17">
        <v>281.27999999999997</v>
      </c>
      <c r="J108" s="17">
        <v>259.14</v>
      </c>
    </row>
    <row r="109" spans="1:10" ht="15.75" thickBot="1">
      <c r="A109" s="15" t="s">
        <v>136</v>
      </c>
      <c r="B109" s="15" t="s">
        <v>17</v>
      </c>
      <c r="C109" s="15" t="s">
        <v>18</v>
      </c>
      <c r="D109" s="15" t="s">
        <v>42</v>
      </c>
      <c r="E109" s="15" t="s">
        <v>24</v>
      </c>
      <c r="F109" s="15" t="s">
        <v>20</v>
      </c>
      <c r="G109" s="16">
        <v>45034</v>
      </c>
      <c r="H109" s="17">
        <v>374</v>
      </c>
      <c r="I109" s="17">
        <v>272.25</v>
      </c>
      <c r="J109" s="17">
        <v>200.73</v>
      </c>
    </row>
    <row r="110" spans="1:10" ht="15.75" thickBot="1">
      <c r="A110" s="15" t="s">
        <v>137</v>
      </c>
      <c r="B110" s="15" t="s">
        <v>48</v>
      </c>
      <c r="C110" s="15" t="s">
        <v>18</v>
      </c>
      <c r="D110" s="15" t="s">
        <v>13</v>
      </c>
      <c r="E110" s="15" t="s">
        <v>24</v>
      </c>
      <c r="F110" s="15" t="s">
        <v>20</v>
      </c>
      <c r="G110" s="16">
        <v>45035</v>
      </c>
      <c r="H110" s="17">
        <v>172</v>
      </c>
      <c r="I110" s="17">
        <v>21.92</v>
      </c>
      <c r="J110" s="17">
        <v>107.88</v>
      </c>
    </row>
    <row r="111" spans="1:10" ht="15.75" thickBot="1">
      <c r="A111" s="15" t="s">
        <v>138</v>
      </c>
      <c r="B111" s="15" t="s">
        <v>11</v>
      </c>
      <c r="C111" s="15" t="s">
        <v>31</v>
      </c>
      <c r="D111" s="15" t="s">
        <v>13</v>
      </c>
      <c r="E111" s="15" t="s">
        <v>24</v>
      </c>
      <c r="F111" s="15" t="s">
        <v>28</v>
      </c>
      <c r="G111" s="16">
        <v>45036</v>
      </c>
      <c r="H111" s="17">
        <v>335</v>
      </c>
      <c r="I111" s="17">
        <v>493.41</v>
      </c>
      <c r="J111" s="17">
        <v>61.4</v>
      </c>
    </row>
    <row r="112" spans="1:10" ht="15.75" thickBot="1">
      <c r="A112" s="15" t="s">
        <v>139</v>
      </c>
      <c r="B112" s="15" t="s">
        <v>17</v>
      </c>
      <c r="C112" s="15" t="s">
        <v>50</v>
      </c>
      <c r="D112" s="15" t="s">
        <v>23</v>
      </c>
      <c r="E112" s="15" t="s">
        <v>14</v>
      </c>
      <c r="F112" s="15" t="s">
        <v>28</v>
      </c>
      <c r="G112" s="16">
        <v>45037</v>
      </c>
      <c r="H112" s="17">
        <v>476</v>
      </c>
      <c r="I112" s="17">
        <v>65.87</v>
      </c>
      <c r="J112" s="17">
        <v>52.63</v>
      </c>
    </row>
    <row r="113" spans="1:10" ht="15.75" thickBot="1">
      <c r="A113" s="15" t="s">
        <v>140</v>
      </c>
      <c r="B113" s="15" t="s">
        <v>11</v>
      </c>
      <c r="C113" s="15" t="s">
        <v>26</v>
      </c>
      <c r="D113" s="15" t="s">
        <v>13</v>
      </c>
      <c r="E113" s="15" t="s">
        <v>14</v>
      </c>
      <c r="F113" s="15" t="s">
        <v>15</v>
      </c>
      <c r="G113" s="16">
        <v>45038</v>
      </c>
      <c r="H113" s="17">
        <v>423</v>
      </c>
      <c r="I113" s="17">
        <v>119.41</v>
      </c>
      <c r="J113" s="17">
        <v>346.13</v>
      </c>
    </row>
    <row r="114" spans="1:10" ht="15.75" thickBot="1">
      <c r="A114" s="15" t="s">
        <v>141</v>
      </c>
      <c r="B114" s="15" t="s">
        <v>17</v>
      </c>
      <c r="C114" s="15" t="s">
        <v>26</v>
      </c>
      <c r="D114" s="15" t="s">
        <v>13</v>
      </c>
      <c r="E114" s="15" t="s">
        <v>14</v>
      </c>
      <c r="F114" s="15" t="s">
        <v>15</v>
      </c>
      <c r="G114" s="16">
        <v>45039</v>
      </c>
      <c r="H114" s="17">
        <v>464</v>
      </c>
      <c r="I114" s="17">
        <v>30.59</v>
      </c>
      <c r="J114" s="17">
        <v>98.9</v>
      </c>
    </row>
    <row r="115" spans="1:10" ht="15.75" thickBot="1">
      <c r="A115" s="15" t="s">
        <v>142</v>
      </c>
      <c r="B115" s="15" t="s">
        <v>48</v>
      </c>
      <c r="C115" s="15" t="s">
        <v>31</v>
      </c>
      <c r="D115" s="15" t="s">
        <v>13</v>
      </c>
      <c r="E115" s="15" t="s">
        <v>24</v>
      </c>
      <c r="F115" s="15" t="s">
        <v>28</v>
      </c>
      <c r="G115" s="16">
        <v>45040</v>
      </c>
      <c r="H115" s="17">
        <v>83</v>
      </c>
      <c r="I115" s="17">
        <v>321.8</v>
      </c>
      <c r="J115" s="17">
        <v>261.38</v>
      </c>
    </row>
    <row r="116" spans="1:10" ht="15.75" thickBot="1">
      <c r="A116" s="15" t="s">
        <v>143</v>
      </c>
      <c r="B116" s="15" t="s">
        <v>11</v>
      </c>
      <c r="C116" s="15" t="s">
        <v>26</v>
      </c>
      <c r="D116" s="15" t="s">
        <v>13</v>
      </c>
      <c r="E116" s="15" t="s">
        <v>14</v>
      </c>
      <c r="F116" s="15" t="s">
        <v>20</v>
      </c>
      <c r="G116" s="16">
        <v>45041</v>
      </c>
      <c r="H116" s="17">
        <v>242</v>
      </c>
      <c r="I116" s="17">
        <v>116.23</v>
      </c>
      <c r="J116" s="17">
        <v>324.64999999999998</v>
      </c>
    </row>
    <row r="117" spans="1:10" ht="15.75" thickBot="1">
      <c r="A117" s="15" t="s">
        <v>144</v>
      </c>
      <c r="B117" s="15" t="s">
        <v>17</v>
      </c>
      <c r="C117" s="15" t="s">
        <v>18</v>
      </c>
      <c r="D117" s="15" t="s">
        <v>27</v>
      </c>
      <c r="E117" s="15" t="s">
        <v>24</v>
      </c>
      <c r="F117" s="15" t="s">
        <v>20</v>
      </c>
      <c r="G117" s="16">
        <v>45042</v>
      </c>
      <c r="H117" s="17">
        <v>233</v>
      </c>
      <c r="I117" s="17">
        <v>94.11</v>
      </c>
      <c r="J117" s="17">
        <v>246.4</v>
      </c>
    </row>
    <row r="118" spans="1:10" ht="15.75" thickBot="1">
      <c r="A118" s="15" t="s">
        <v>145</v>
      </c>
      <c r="B118" s="15" t="s">
        <v>22</v>
      </c>
      <c r="C118" s="15" t="s">
        <v>50</v>
      </c>
      <c r="D118" s="15" t="s">
        <v>27</v>
      </c>
      <c r="E118" s="15" t="s">
        <v>24</v>
      </c>
      <c r="F118" s="15" t="s">
        <v>20</v>
      </c>
      <c r="G118" s="16">
        <v>45043</v>
      </c>
      <c r="H118" s="17">
        <v>491</v>
      </c>
      <c r="I118" s="17">
        <v>48.84</v>
      </c>
      <c r="J118" s="17">
        <v>344.11</v>
      </c>
    </row>
    <row r="119" spans="1:10" ht="15.75" thickBot="1">
      <c r="A119" s="15" t="s">
        <v>146</v>
      </c>
      <c r="B119" s="15"/>
      <c r="C119" s="15" t="s">
        <v>12</v>
      </c>
      <c r="D119" s="15" t="s">
        <v>23</v>
      </c>
      <c r="E119" s="15" t="s">
        <v>24</v>
      </c>
      <c r="F119" s="15" t="s">
        <v>20</v>
      </c>
      <c r="G119" s="16">
        <v>45044</v>
      </c>
      <c r="H119" s="17">
        <v>328</v>
      </c>
      <c r="I119" s="17">
        <v>56.14</v>
      </c>
      <c r="J119" s="17">
        <v>158.16999999999999</v>
      </c>
    </row>
    <row r="120" spans="1:10" ht="15.75" thickBot="1">
      <c r="A120" s="15" t="s">
        <v>147</v>
      </c>
      <c r="B120" s="15" t="s">
        <v>17</v>
      </c>
      <c r="C120" s="15" t="s">
        <v>26</v>
      </c>
      <c r="D120" s="15" t="s">
        <v>42</v>
      </c>
      <c r="E120" s="15" t="s">
        <v>24</v>
      </c>
      <c r="F120" s="15" t="s">
        <v>15</v>
      </c>
      <c r="G120" s="16">
        <v>45045</v>
      </c>
      <c r="H120" s="17">
        <v>421</v>
      </c>
      <c r="I120" s="17">
        <v>294.41000000000003</v>
      </c>
      <c r="J120" s="17">
        <v>382.58</v>
      </c>
    </row>
    <row r="121" spans="1:10" ht="15.75" thickBot="1">
      <c r="A121" s="15" t="s">
        <v>148</v>
      </c>
      <c r="B121" s="15" t="s">
        <v>22</v>
      </c>
      <c r="C121" s="15" t="s">
        <v>18</v>
      </c>
      <c r="D121" s="15" t="s">
        <v>13</v>
      </c>
      <c r="E121" s="15" t="s">
        <v>24</v>
      </c>
      <c r="F121" s="15" t="s">
        <v>28</v>
      </c>
      <c r="G121" s="16">
        <v>45046</v>
      </c>
      <c r="H121" s="17">
        <v>69</v>
      </c>
      <c r="I121" s="17">
        <v>345.66</v>
      </c>
      <c r="J121" s="17">
        <v>54.99</v>
      </c>
    </row>
    <row r="122" spans="1:10" ht="15.75" thickBot="1">
      <c r="A122" s="15" t="s">
        <v>149</v>
      </c>
      <c r="B122" s="15" t="s">
        <v>17</v>
      </c>
      <c r="C122" s="15" t="s">
        <v>12</v>
      </c>
      <c r="D122" s="15" t="s">
        <v>42</v>
      </c>
      <c r="E122" s="15" t="s">
        <v>24</v>
      </c>
      <c r="F122" s="15" t="s">
        <v>20</v>
      </c>
      <c r="G122" s="16">
        <v>45047</v>
      </c>
      <c r="H122" s="17">
        <v>344</v>
      </c>
      <c r="I122" s="17">
        <v>201.7</v>
      </c>
      <c r="J122" s="17">
        <v>42.66</v>
      </c>
    </row>
    <row r="123" spans="1:10" ht="15.75" thickBot="1">
      <c r="A123" s="15" t="s">
        <v>150</v>
      </c>
      <c r="B123" s="15"/>
      <c r="C123" s="15" t="s">
        <v>50</v>
      </c>
      <c r="D123" s="15" t="s">
        <v>42</v>
      </c>
      <c r="E123" s="15" t="s">
        <v>14</v>
      </c>
      <c r="F123" s="15" t="s">
        <v>15</v>
      </c>
      <c r="G123" s="16">
        <v>45048</v>
      </c>
      <c r="H123" s="17">
        <v>231</v>
      </c>
      <c r="I123" s="17">
        <v>242.55</v>
      </c>
      <c r="J123" s="17">
        <v>264.16000000000003</v>
      </c>
    </row>
    <row r="124" spans="1:10" ht="15.75" thickBot="1">
      <c r="A124" s="15" t="s">
        <v>151</v>
      </c>
      <c r="B124" s="15" t="s">
        <v>48</v>
      </c>
      <c r="C124" s="15" t="s">
        <v>12</v>
      </c>
      <c r="D124" s="15" t="s">
        <v>23</v>
      </c>
      <c r="E124" s="15" t="s">
        <v>14</v>
      </c>
      <c r="F124" s="15" t="s">
        <v>20</v>
      </c>
      <c r="G124" s="16">
        <v>45049</v>
      </c>
      <c r="H124" s="17">
        <v>46</v>
      </c>
      <c r="I124" s="17">
        <v>344.55</v>
      </c>
      <c r="J124" s="17">
        <v>377.25</v>
      </c>
    </row>
    <row r="125" spans="1:10" ht="15.75" thickBot="1">
      <c r="A125" s="15" t="s">
        <v>152</v>
      </c>
      <c r="B125" s="15" t="s">
        <v>11</v>
      </c>
      <c r="C125" s="15" t="s">
        <v>18</v>
      </c>
      <c r="D125" s="15" t="s">
        <v>13</v>
      </c>
      <c r="E125" s="15" t="s">
        <v>24</v>
      </c>
      <c r="F125" s="15" t="s">
        <v>28</v>
      </c>
      <c r="G125" s="16">
        <v>45050</v>
      </c>
      <c r="H125" s="17">
        <v>486</v>
      </c>
      <c r="I125" s="17">
        <v>13.6</v>
      </c>
      <c r="J125" s="17">
        <v>323.94</v>
      </c>
    </row>
    <row r="126" spans="1:10" ht="15.75" thickBot="1">
      <c r="A126" s="15" t="s">
        <v>153</v>
      </c>
      <c r="B126" s="15" t="s">
        <v>22</v>
      </c>
      <c r="C126" s="15" t="s">
        <v>12</v>
      </c>
      <c r="D126" s="15" t="s">
        <v>13</v>
      </c>
      <c r="E126" s="15" t="s">
        <v>24</v>
      </c>
      <c r="F126" s="15" t="s">
        <v>15</v>
      </c>
      <c r="G126" s="16">
        <v>45051</v>
      </c>
      <c r="H126" s="17">
        <v>287</v>
      </c>
      <c r="I126" s="17">
        <v>164.95</v>
      </c>
      <c r="J126" s="17">
        <v>32.409999999999997</v>
      </c>
    </row>
    <row r="127" spans="1:10" ht="15.75" thickBot="1">
      <c r="A127" s="15" t="s">
        <v>154</v>
      </c>
      <c r="B127" s="15" t="s">
        <v>17</v>
      </c>
      <c r="C127" s="15" t="s">
        <v>31</v>
      </c>
      <c r="D127" s="15" t="s">
        <v>19</v>
      </c>
      <c r="E127" s="15" t="s">
        <v>14</v>
      </c>
      <c r="F127" s="15" t="s">
        <v>28</v>
      </c>
      <c r="G127" s="16">
        <v>45052</v>
      </c>
      <c r="H127" s="17">
        <v>205</v>
      </c>
      <c r="I127" s="17">
        <v>486.68</v>
      </c>
      <c r="J127" s="17">
        <v>113.19</v>
      </c>
    </row>
    <row r="128" spans="1:10" ht="15.75" thickBot="1">
      <c r="A128" s="15" t="s">
        <v>155</v>
      </c>
      <c r="B128" s="15" t="s">
        <v>48</v>
      </c>
      <c r="C128" s="15" t="s">
        <v>12</v>
      </c>
      <c r="D128" s="15" t="s">
        <v>42</v>
      </c>
      <c r="E128" s="15" t="s">
        <v>24</v>
      </c>
      <c r="F128" s="15" t="s">
        <v>28</v>
      </c>
      <c r="G128" s="16">
        <v>45053</v>
      </c>
      <c r="H128" s="17">
        <v>413</v>
      </c>
      <c r="I128" s="17">
        <v>292.16000000000003</v>
      </c>
      <c r="J128" s="17">
        <v>372.27</v>
      </c>
    </row>
    <row r="129" spans="1:10" ht="15.75" thickBot="1">
      <c r="A129" s="15" t="s">
        <v>156</v>
      </c>
      <c r="B129" s="15" t="s">
        <v>22</v>
      </c>
      <c r="C129" s="15" t="s">
        <v>26</v>
      </c>
      <c r="D129" s="15" t="s">
        <v>42</v>
      </c>
      <c r="E129" s="15" t="s">
        <v>24</v>
      </c>
      <c r="F129" s="15" t="s">
        <v>15</v>
      </c>
      <c r="G129" s="16">
        <v>45054</v>
      </c>
      <c r="H129" s="17">
        <v>361</v>
      </c>
      <c r="I129" s="17">
        <v>130.84</v>
      </c>
      <c r="J129" s="17">
        <v>102.72</v>
      </c>
    </row>
    <row r="130" spans="1:10" ht="15.75" thickBot="1">
      <c r="A130" s="15" t="s">
        <v>157</v>
      </c>
      <c r="B130" s="15" t="s">
        <v>17</v>
      </c>
      <c r="C130" s="15" t="s">
        <v>26</v>
      </c>
      <c r="D130" s="15" t="s">
        <v>27</v>
      </c>
      <c r="E130" s="15" t="s">
        <v>14</v>
      </c>
      <c r="F130" s="15" t="s">
        <v>15</v>
      </c>
      <c r="G130" s="16">
        <v>45055</v>
      </c>
      <c r="H130" s="17">
        <v>493</v>
      </c>
      <c r="I130" s="17">
        <v>263.26</v>
      </c>
      <c r="J130" s="17">
        <v>312.91000000000003</v>
      </c>
    </row>
    <row r="131" spans="1:10" ht="15.75" thickBot="1">
      <c r="A131" s="15" t="s">
        <v>158</v>
      </c>
      <c r="B131" s="15" t="s">
        <v>17</v>
      </c>
      <c r="C131" s="15" t="s">
        <v>31</v>
      </c>
      <c r="D131" s="15" t="s">
        <v>19</v>
      </c>
      <c r="E131" s="15" t="s">
        <v>24</v>
      </c>
      <c r="F131" s="15" t="s">
        <v>15</v>
      </c>
      <c r="G131" s="16">
        <v>45056</v>
      </c>
      <c r="H131" s="17">
        <v>251</v>
      </c>
      <c r="I131" s="17">
        <v>174.61</v>
      </c>
      <c r="J131" s="17">
        <v>330.4</v>
      </c>
    </row>
    <row r="132" spans="1:10" ht="15.75" thickBot="1">
      <c r="A132" s="15" t="s">
        <v>159</v>
      </c>
      <c r="B132" s="15" t="s">
        <v>17</v>
      </c>
      <c r="C132" s="15" t="s">
        <v>18</v>
      </c>
      <c r="D132" s="15" t="s">
        <v>27</v>
      </c>
      <c r="E132" s="15" t="s">
        <v>24</v>
      </c>
      <c r="F132" s="15" t="s">
        <v>15</v>
      </c>
      <c r="G132" s="16">
        <v>45057</v>
      </c>
      <c r="H132" s="15"/>
      <c r="I132" s="17">
        <v>268.45999999999998</v>
      </c>
      <c r="J132" s="17">
        <v>199.19</v>
      </c>
    </row>
    <row r="133" spans="1:10" ht="15.75" thickBot="1">
      <c r="A133" s="15" t="s">
        <v>160</v>
      </c>
      <c r="B133" s="15" t="s">
        <v>22</v>
      </c>
      <c r="C133" s="15" t="s">
        <v>26</v>
      </c>
      <c r="D133" s="15" t="s">
        <v>27</v>
      </c>
      <c r="E133" s="15" t="s">
        <v>24</v>
      </c>
      <c r="F133" s="15" t="s">
        <v>15</v>
      </c>
      <c r="G133" s="16">
        <v>45058</v>
      </c>
      <c r="H133" s="17">
        <v>228</v>
      </c>
      <c r="I133" s="17">
        <v>67.239999999999995</v>
      </c>
      <c r="J133" s="17">
        <v>155.77000000000001</v>
      </c>
    </row>
    <row r="134" spans="1:10" ht="15.75" thickBot="1">
      <c r="A134" s="15" t="s">
        <v>161</v>
      </c>
      <c r="B134" s="15" t="s">
        <v>22</v>
      </c>
      <c r="C134" s="15" t="s">
        <v>50</v>
      </c>
      <c r="D134" s="15" t="s">
        <v>27</v>
      </c>
      <c r="E134" s="15" t="s">
        <v>14</v>
      </c>
      <c r="F134" s="15" t="s">
        <v>15</v>
      </c>
      <c r="G134" s="16">
        <v>45059</v>
      </c>
      <c r="H134" s="17">
        <v>201</v>
      </c>
      <c r="I134" s="17">
        <v>70.69</v>
      </c>
      <c r="J134" s="17">
        <v>181.15</v>
      </c>
    </row>
    <row r="135" spans="1:10" ht="15.75" thickBot="1">
      <c r="A135" s="15" t="s">
        <v>162</v>
      </c>
      <c r="B135" s="15" t="s">
        <v>22</v>
      </c>
      <c r="C135" s="15" t="s">
        <v>26</v>
      </c>
      <c r="D135" s="15" t="s">
        <v>23</v>
      </c>
      <c r="E135" s="15" t="s">
        <v>14</v>
      </c>
      <c r="F135" s="15" t="s">
        <v>15</v>
      </c>
      <c r="G135" s="16">
        <v>45060</v>
      </c>
      <c r="H135" s="17">
        <v>26</v>
      </c>
      <c r="I135" s="17">
        <v>76.05</v>
      </c>
      <c r="J135" s="17">
        <v>92.33</v>
      </c>
    </row>
    <row r="136" spans="1:10" ht="15.75" thickBot="1">
      <c r="A136" s="15" t="s">
        <v>163</v>
      </c>
      <c r="B136" s="15" t="s">
        <v>11</v>
      </c>
      <c r="C136" s="15" t="s">
        <v>26</v>
      </c>
      <c r="D136" s="15" t="s">
        <v>23</v>
      </c>
      <c r="E136" s="15" t="s">
        <v>14</v>
      </c>
      <c r="F136" s="15" t="s">
        <v>20</v>
      </c>
      <c r="G136" s="16">
        <v>45061</v>
      </c>
      <c r="H136" s="17">
        <v>21</v>
      </c>
      <c r="I136" s="17">
        <v>470.21</v>
      </c>
      <c r="J136" s="17">
        <v>355.98</v>
      </c>
    </row>
    <row r="137" spans="1:10" ht="15.75" thickBot="1">
      <c r="A137" s="15" t="s">
        <v>164</v>
      </c>
      <c r="B137" s="15" t="s">
        <v>22</v>
      </c>
      <c r="C137" s="15" t="s">
        <v>18</v>
      </c>
      <c r="D137" s="15" t="s">
        <v>27</v>
      </c>
      <c r="E137" s="15" t="s">
        <v>24</v>
      </c>
      <c r="F137" s="15" t="s">
        <v>28</v>
      </c>
      <c r="G137" s="16">
        <v>45062</v>
      </c>
      <c r="H137" s="17">
        <v>415</v>
      </c>
      <c r="I137" s="17">
        <v>367.78</v>
      </c>
      <c r="J137" s="17">
        <v>181.35</v>
      </c>
    </row>
    <row r="138" spans="1:10" ht="15.75" thickBot="1">
      <c r="A138" s="15" t="s">
        <v>165</v>
      </c>
      <c r="B138" s="15" t="s">
        <v>22</v>
      </c>
      <c r="C138" s="15" t="s">
        <v>12</v>
      </c>
      <c r="D138" s="15" t="s">
        <v>19</v>
      </c>
      <c r="E138" s="15" t="s">
        <v>24</v>
      </c>
      <c r="F138" s="15" t="s">
        <v>15</v>
      </c>
      <c r="G138" s="16">
        <v>45063</v>
      </c>
      <c r="H138" s="17">
        <v>410</v>
      </c>
      <c r="I138" s="17">
        <v>85.38</v>
      </c>
      <c r="J138" s="17">
        <v>353.22</v>
      </c>
    </row>
    <row r="139" spans="1:10" ht="15.75" thickBot="1">
      <c r="A139" s="15" t="s">
        <v>166</v>
      </c>
      <c r="B139" s="15" t="s">
        <v>22</v>
      </c>
      <c r="C139" s="15" t="s">
        <v>26</v>
      </c>
      <c r="D139" s="15" t="s">
        <v>42</v>
      </c>
      <c r="E139" s="15" t="s">
        <v>14</v>
      </c>
      <c r="F139" s="15" t="s">
        <v>20</v>
      </c>
      <c r="G139" s="16">
        <v>45064</v>
      </c>
      <c r="H139" s="17">
        <v>403</v>
      </c>
      <c r="I139" s="17">
        <v>98.23</v>
      </c>
      <c r="J139" s="17">
        <v>44.07</v>
      </c>
    </row>
    <row r="140" spans="1:10" ht="15.75" thickBot="1">
      <c r="A140" s="15" t="s">
        <v>167</v>
      </c>
      <c r="B140" s="15" t="s">
        <v>11</v>
      </c>
      <c r="C140" s="15" t="s">
        <v>31</v>
      </c>
      <c r="D140" s="15" t="s">
        <v>19</v>
      </c>
      <c r="E140" s="15" t="s">
        <v>24</v>
      </c>
      <c r="F140" s="15" t="s">
        <v>20</v>
      </c>
      <c r="G140" s="16">
        <v>45065</v>
      </c>
      <c r="H140" s="17">
        <v>383</v>
      </c>
      <c r="I140" s="17">
        <v>366.76</v>
      </c>
      <c r="J140" s="17">
        <v>395.33</v>
      </c>
    </row>
    <row r="141" spans="1:10" ht="15.75" thickBot="1">
      <c r="A141" s="15" t="s">
        <v>168</v>
      </c>
      <c r="B141" s="15" t="s">
        <v>22</v>
      </c>
      <c r="C141" s="15" t="s">
        <v>12</v>
      </c>
      <c r="D141" s="15" t="s">
        <v>13</v>
      </c>
      <c r="E141" s="15" t="s">
        <v>24</v>
      </c>
      <c r="F141" s="15" t="s">
        <v>20</v>
      </c>
      <c r="G141" s="16">
        <v>45066</v>
      </c>
      <c r="H141" s="17">
        <v>202</v>
      </c>
      <c r="I141" s="17">
        <v>82.3</v>
      </c>
      <c r="J141" s="17">
        <v>178.42</v>
      </c>
    </row>
    <row r="142" spans="1:10" ht="15.75" thickBot="1">
      <c r="A142" s="15" t="s">
        <v>169</v>
      </c>
      <c r="B142" s="15" t="s">
        <v>17</v>
      </c>
      <c r="C142" s="15" t="s">
        <v>50</v>
      </c>
      <c r="D142" s="15" t="s">
        <v>23</v>
      </c>
      <c r="E142" s="15" t="s">
        <v>24</v>
      </c>
      <c r="F142" s="15" t="s">
        <v>28</v>
      </c>
      <c r="G142" s="16">
        <v>45067</v>
      </c>
      <c r="H142" s="17">
        <v>31</v>
      </c>
      <c r="I142" s="17">
        <v>121.11</v>
      </c>
      <c r="J142" s="17">
        <v>21.04</v>
      </c>
    </row>
    <row r="143" spans="1:10" ht="15.75" thickBot="1">
      <c r="A143" s="15" t="s">
        <v>170</v>
      </c>
      <c r="B143" s="15" t="s">
        <v>22</v>
      </c>
      <c r="C143" s="15" t="s">
        <v>18</v>
      </c>
      <c r="D143" s="15" t="s">
        <v>42</v>
      </c>
      <c r="E143" s="15" t="s">
        <v>24</v>
      </c>
      <c r="F143" s="15" t="s">
        <v>15</v>
      </c>
      <c r="G143" s="16">
        <v>45068</v>
      </c>
      <c r="H143" s="17">
        <v>483</v>
      </c>
      <c r="I143" s="17">
        <v>481.86</v>
      </c>
      <c r="J143" s="17">
        <v>17.13</v>
      </c>
    </row>
    <row r="144" spans="1:10" ht="15.75" thickBot="1">
      <c r="A144" s="15" t="s">
        <v>171</v>
      </c>
      <c r="B144" s="15" t="s">
        <v>17</v>
      </c>
      <c r="C144" s="15" t="s">
        <v>50</v>
      </c>
      <c r="D144" s="15" t="s">
        <v>42</v>
      </c>
      <c r="E144" s="15" t="s">
        <v>24</v>
      </c>
      <c r="F144" s="15" t="s">
        <v>20</v>
      </c>
      <c r="G144" s="16">
        <v>45069</v>
      </c>
      <c r="H144" s="17">
        <v>129</v>
      </c>
      <c r="I144" s="17">
        <v>131.38</v>
      </c>
      <c r="J144" s="17">
        <v>298.99</v>
      </c>
    </row>
    <row r="145" spans="1:10" ht="15.75" thickBot="1">
      <c r="A145" s="15" t="s">
        <v>172</v>
      </c>
      <c r="B145" s="15" t="s">
        <v>17</v>
      </c>
      <c r="C145" s="15" t="s">
        <v>12</v>
      </c>
      <c r="D145" s="15" t="s">
        <v>13</v>
      </c>
      <c r="E145" s="15" t="s">
        <v>14</v>
      </c>
      <c r="F145" s="15" t="s">
        <v>28</v>
      </c>
      <c r="G145" s="16">
        <v>45070</v>
      </c>
      <c r="H145" s="17">
        <v>219</v>
      </c>
      <c r="I145" s="17">
        <v>332.51</v>
      </c>
      <c r="J145" s="17">
        <v>264.3</v>
      </c>
    </row>
    <row r="146" spans="1:10" ht="15.75" thickBot="1">
      <c r="A146" s="15" t="s">
        <v>173</v>
      </c>
      <c r="B146" s="15" t="s">
        <v>17</v>
      </c>
      <c r="C146" s="15" t="s">
        <v>12</v>
      </c>
      <c r="D146" s="15" t="s">
        <v>13</v>
      </c>
      <c r="E146" s="15" t="s">
        <v>24</v>
      </c>
      <c r="F146" s="15" t="s">
        <v>28</v>
      </c>
      <c r="G146" s="16">
        <v>45071</v>
      </c>
      <c r="H146" s="17">
        <v>315</v>
      </c>
      <c r="I146" s="17">
        <v>489.42</v>
      </c>
      <c r="J146" s="17">
        <v>321.25</v>
      </c>
    </row>
    <row r="147" spans="1:10" ht="15.75" thickBot="1">
      <c r="A147" s="15" t="s">
        <v>174</v>
      </c>
      <c r="B147" s="15" t="s">
        <v>11</v>
      </c>
      <c r="C147" s="15" t="s">
        <v>12</v>
      </c>
      <c r="D147" s="15" t="s">
        <v>27</v>
      </c>
      <c r="E147" s="15" t="s">
        <v>14</v>
      </c>
      <c r="F147" s="15" t="s">
        <v>28</v>
      </c>
      <c r="G147" s="16">
        <v>45072</v>
      </c>
      <c r="H147" s="17">
        <v>279</v>
      </c>
      <c r="I147" s="17">
        <v>190.28</v>
      </c>
      <c r="J147" s="17">
        <v>43.94</v>
      </c>
    </row>
    <row r="148" spans="1:10" ht="15.75" thickBot="1">
      <c r="A148" s="15" t="s">
        <v>175</v>
      </c>
      <c r="B148" s="15" t="s">
        <v>11</v>
      </c>
      <c r="C148" s="15" t="s">
        <v>50</v>
      </c>
      <c r="D148" s="15" t="s">
        <v>23</v>
      </c>
      <c r="E148" s="15" t="s">
        <v>24</v>
      </c>
      <c r="F148" s="15" t="s">
        <v>20</v>
      </c>
      <c r="G148" s="16">
        <v>45073</v>
      </c>
      <c r="H148" s="17">
        <v>201</v>
      </c>
      <c r="I148" s="17">
        <v>13.67</v>
      </c>
      <c r="J148" s="17">
        <v>16.16</v>
      </c>
    </row>
    <row r="149" spans="1:10" ht="15.75" thickBot="1">
      <c r="A149" s="15" t="s">
        <v>176</v>
      </c>
      <c r="B149" s="15" t="s">
        <v>11</v>
      </c>
      <c r="C149" s="15" t="s">
        <v>12</v>
      </c>
      <c r="D149" s="15" t="s">
        <v>23</v>
      </c>
      <c r="E149" s="15" t="s">
        <v>14</v>
      </c>
      <c r="F149" s="15" t="s">
        <v>15</v>
      </c>
      <c r="G149" s="16">
        <v>45074</v>
      </c>
      <c r="H149" s="17">
        <v>184</v>
      </c>
      <c r="I149" s="17">
        <v>125.85</v>
      </c>
      <c r="J149" s="17">
        <v>204.41</v>
      </c>
    </row>
    <row r="150" spans="1:10" ht="15.75" thickBot="1">
      <c r="A150" s="15" t="s">
        <v>177</v>
      </c>
      <c r="B150" s="15" t="s">
        <v>22</v>
      </c>
      <c r="C150" s="15" t="s">
        <v>50</v>
      </c>
      <c r="D150" s="15" t="s">
        <v>19</v>
      </c>
      <c r="E150" s="15" t="s">
        <v>24</v>
      </c>
      <c r="F150" s="15" t="s">
        <v>20</v>
      </c>
      <c r="G150" s="16">
        <v>45075</v>
      </c>
      <c r="H150" s="17">
        <v>294</v>
      </c>
      <c r="I150" s="17">
        <v>416.28</v>
      </c>
      <c r="J150" s="17">
        <v>156.26</v>
      </c>
    </row>
    <row r="151" spans="1:10" ht="15.75" thickBot="1">
      <c r="A151" s="15" t="s">
        <v>178</v>
      </c>
      <c r="B151" s="15" t="s">
        <v>17</v>
      </c>
      <c r="C151" s="15" t="s">
        <v>12</v>
      </c>
      <c r="D151" s="15" t="s">
        <v>27</v>
      </c>
      <c r="E151" s="15" t="s">
        <v>14</v>
      </c>
      <c r="F151" s="15" t="s">
        <v>20</v>
      </c>
      <c r="G151" s="16">
        <v>45076</v>
      </c>
      <c r="H151" s="17">
        <v>213</v>
      </c>
      <c r="I151" s="17">
        <v>432.98</v>
      </c>
      <c r="J151" s="17">
        <v>185.85</v>
      </c>
    </row>
    <row r="152" spans="1:10" ht="15.75" thickBot="1">
      <c r="A152" s="15" t="s">
        <v>179</v>
      </c>
      <c r="B152" s="15" t="s">
        <v>11</v>
      </c>
      <c r="C152" s="15" t="s">
        <v>31</v>
      </c>
      <c r="D152" s="15" t="s">
        <v>27</v>
      </c>
      <c r="E152" s="15" t="s">
        <v>24</v>
      </c>
      <c r="F152" s="15" t="s">
        <v>15</v>
      </c>
      <c r="G152" s="16">
        <v>45077</v>
      </c>
      <c r="H152" s="17">
        <v>173</v>
      </c>
      <c r="I152" s="17">
        <v>385.42</v>
      </c>
      <c r="J152" s="17">
        <v>396.65</v>
      </c>
    </row>
    <row r="153" spans="1:10" ht="15.75" thickBot="1">
      <c r="A153" s="15" t="s">
        <v>180</v>
      </c>
      <c r="B153" s="15" t="s">
        <v>11</v>
      </c>
      <c r="C153" s="15" t="s">
        <v>12</v>
      </c>
      <c r="D153" s="15" t="s">
        <v>27</v>
      </c>
      <c r="E153" s="15" t="s">
        <v>14</v>
      </c>
      <c r="F153" s="15" t="s">
        <v>15</v>
      </c>
      <c r="G153" s="16">
        <v>45078</v>
      </c>
      <c r="H153" s="17">
        <v>260</v>
      </c>
      <c r="I153" s="17">
        <v>60.99</v>
      </c>
      <c r="J153" s="17">
        <v>388.36</v>
      </c>
    </row>
    <row r="154" spans="1:10" ht="15.75" thickBot="1">
      <c r="A154" s="15" t="s">
        <v>181</v>
      </c>
      <c r="B154" s="15" t="s">
        <v>22</v>
      </c>
      <c r="C154" s="15" t="s">
        <v>50</v>
      </c>
      <c r="D154" s="15" t="s">
        <v>27</v>
      </c>
      <c r="E154" s="15" t="s">
        <v>24</v>
      </c>
      <c r="F154" s="15" t="s">
        <v>15</v>
      </c>
      <c r="G154" s="16">
        <v>45079</v>
      </c>
      <c r="H154" s="17">
        <v>236</v>
      </c>
      <c r="I154" s="17">
        <v>398.78</v>
      </c>
      <c r="J154" s="17">
        <v>377.04</v>
      </c>
    </row>
    <row r="155" spans="1:10" ht="15.75" thickBot="1">
      <c r="A155" s="15" t="s">
        <v>182</v>
      </c>
      <c r="B155" s="15" t="s">
        <v>11</v>
      </c>
      <c r="C155" s="15" t="s">
        <v>26</v>
      </c>
      <c r="D155" s="15" t="s">
        <v>23</v>
      </c>
      <c r="E155" s="15" t="s">
        <v>14</v>
      </c>
      <c r="F155" s="15" t="s">
        <v>28</v>
      </c>
      <c r="G155" s="16">
        <v>45080</v>
      </c>
      <c r="H155" s="17">
        <v>445</v>
      </c>
      <c r="I155" s="17">
        <v>459.75</v>
      </c>
      <c r="J155" s="17">
        <v>313.97000000000003</v>
      </c>
    </row>
    <row r="156" spans="1:10" ht="15.75" thickBot="1">
      <c r="A156" s="15" t="s">
        <v>183</v>
      </c>
      <c r="B156" s="15" t="s">
        <v>22</v>
      </c>
      <c r="C156" s="15" t="s">
        <v>12</v>
      </c>
      <c r="D156" s="15" t="s">
        <v>23</v>
      </c>
      <c r="E156" s="15" t="s">
        <v>24</v>
      </c>
      <c r="F156" s="15" t="s">
        <v>15</v>
      </c>
      <c r="G156" s="16">
        <v>45081</v>
      </c>
      <c r="H156" s="17">
        <v>390</v>
      </c>
      <c r="I156" s="17">
        <v>302.3</v>
      </c>
      <c r="J156" s="17">
        <v>143.22999999999999</v>
      </c>
    </row>
    <row r="157" spans="1:10" ht="15.75" thickBot="1">
      <c r="A157" s="15" t="s">
        <v>184</v>
      </c>
      <c r="B157" s="15" t="s">
        <v>48</v>
      </c>
      <c r="C157" s="15" t="s">
        <v>26</v>
      </c>
      <c r="D157" s="15" t="s">
        <v>27</v>
      </c>
      <c r="E157" s="15" t="s">
        <v>14</v>
      </c>
      <c r="F157" s="15" t="s">
        <v>20</v>
      </c>
      <c r="G157" s="16">
        <v>45082</v>
      </c>
      <c r="H157" s="17">
        <v>469</v>
      </c>
      <c r="I157" s="17">
        <v>470.73</v>
      </c>
      <c r="J157" s="17">
        <v>166.03</v>
      </c>
    </row>
    <row r="158" spans="1:10" ht="15.75" thickBot="1">
      <c r="A158" s="15" t="s">
        <v>185</v>
      </c>
      <c r="B158" s="15" t="s">
        <v>11</v>
      </c>
      <c r="C158" s="15" t="s">
        <v>31</v>
      </c>
      <c r="D158" s="15" t="s">
        <v>19</v>
      </c>
      <c r="E158" s="15" t="s">
        <v>14</v>
      </c>
      <c r="F158" s="15" t="s">
        <v>15</v>
      </c>
      <c r="G158" s="16">
        <v>45083</v>
      </c>
      <c r="H158" s="17">
        <v>16</v>
      </c>
      <c r="I158" s="15"/>
      <c r="J158" s="17">
        <v>220.75</v>
      </c>
    </row>
    <row r="159" spans="1:10" ht="15.75" thickBot="1">
      <c r="A159" s="15" t="s">
        <v>186</v>
      </c>
      <c r="B159" s="15" t="s">
        <v>48</v>
      </c>
      <c r="C159" s="15" t="s">
        <v>18</v>
      </c>
      <c r="D159" s="15" t="s">
        <v>42</v>
      </c>
      <c r="E159" s="15" t="s">
        <v>24</v>
      </c>
      <c r="F159" s="15" t="s">
        <v>20</v>
      </c>
      <c r="G159" s="16">
        <v>45084</v>
      </c>
      <c r="H159" s="17">
        <v>38</v>
      </c>
      <c r="I159" s="17">
        <v>335.15</v>
      </c>
      <c r="J159" s="17">
        <v>332.55</v>
      </c>
    </row>
    <row r="160" spans="1:10" ht="15.75" thickBot="1">
      <c r="A160" s="15" t="s">
        <v>187</v>
      </c>
      <c r="B160" s="15" t="s">
        <v>22</v>
      </c>
      <c r="C160" s="15" t="s">
        <v>31</v>
      </c>
      <c r="D160" s="15"/>
      <c r="E160" s="15" t="s">
        <v>24</v>
      </c>
      <c r="F160" s="15" t="s">
        <v>28</v>
      </c>
      <c r="G160" s="16">
        <v>45085</v>
      </c>
      <c r="H160" s="17">
        <v>404</v>
      </c>
      <c r="I160" s="17">
        <v>290.70999999999998</v>
      </c>
      <c r="J160" s="17">
        <v>29.35</v>
      </c>
    </row>
    <row r="161" spans="1:10" ht="15.75" thickBot="1">
      <c r="A161" s="15" t="s">
        <v>188</v>
      </c>
      <c r="B161" s="15" t="s">
        <v>17</v>
      </c>
      <c r="C161" s="15" t="s">
        <v>12</v>
      </c>
      <c r="D161" s="15" t="s">
        <v>19</v>
      </c>
      <c r="E161" s="15" t="s">
        <v>14</v>
      </c>
      <c r="F161" s="15" t="s">
        <v>20</v>
      </c>
      <c r="G161" s="16">
        <v>45086</v>
      </c>
      <c r="H161" s="17">
        <v>42</v>
      </c>
      <c r="I161" s="17">
        <v>177.54</v>
      </c>
      <c r="J161" s="17">
        <v>170.87</v>
      </c>
    </row>
    <row r="162" spans="1:10" ht="15.75" thickBot="1">
      <c r="A162" s="15" t="s">
        <v>189</v>
      </c>
      <c r="B162" s="15" t="s">
        <v>11</v>
      </c>
      <c r="C162" s="15" t="s">
        <v>26</v>
      </c>
      <c r="D162" s="15" t="s">
        <v>27</v>
      </c>
      <c r="E162" s="15" t="s">
        <v>24</v>
      </c>
      <c r="F162" s="15" t="s">
        <v>20</v>
      </c>
      <c r="G162" s="16">
        <v>45087</v>
      </c>
      <c r="H162" s="17">
        <v>143</v>
      </c>
      <c r="I162" s="17">
        <v>83.85</v>
      </c>
      <c r="J162" s="17">
        <v>34.880000000000003</v>
      </c>
    </row>
    <row r="163" spans="1:10" ht="15.75" thickBot="1">
      <c r="A163" s="15" t="s">
        <v>190</v>
      </c>
      <c r="B163" s="15" t="s">
        <v>22</v>
      </c>
      <c r="C163" s="15" t="s">
        <v>26</v>
      </c>
      <c r="D163" s="15" t="s">
        <v>23</v>
      </c>
      <c r="E163" s="15" t="s">
        <v>14</v>
      </c>
      <c r="F163" s="15" t="s">
        <v>15</v>
      </c>
      <c r="G163" s="16">
        <v>45088</v>
      </c>
      <c r="H163" s="17">
        <v>376</v>
      </c>
      <c r="I163" s="17">
        <v>304.45</v>
      </c>
      <c r="J163" s="17">
        <v>206.83</v>
      </c>
    </row>
    <row r="164" spans="1:10" ht="15.75" thickBot="1">
      <c r="A164" s="15" t="s">
        <v>191</v>
      </c>
      <c r="B164" s="15" t="s">
        <v>17</v>
      </c>
      <c r="C164" s="15" t="s">
        <v>50</v>
      </c>
      <c r="D164" s="15" t="s">
        <v>42</v>
      </c>
      <c r="E164" s="15" t="s">
        <v>14</v>
      </c>
      <c r="F164" s="15" t="s">
        <v>15</v>
      </c>
      <c r="G164" s="16">
        <v>45089</v>
      </c>
      <c r="H164" s="17">
        <v>88</v>
      </c>
      <c r="I164" s="17">
        <v>162.47</v>
      </c>
      <c r="J164" s="17">
        <v>359.76</v>
      </c>
    </row>
    <row r="165" spans="1:10" ht="15.75" thickBot="1">
      <c r="A165" s="15" t="s">
        <v>192</v>
      </c>
      <c r="B165" s="15" t="s">
        <v>17</v>
      </c>
      <c r="C165" s="15" t="s">
        <v>26</v>
      </c>
      <c r="D165" s="15" t="s">
        <v>13</v>
      </c>
      <c r="E165" s="15" t="s">
        <v>14</v>
      </c>
      <c r="F165" s="15" t="s">
        <v>20</v>
      </c>
      <c r="G165" s="16">
        <v>45090</v>
      </c>
      <c r="H165" s="17">
        <v>425</v>
      </c>
      <c r="I165" s="17">
        <v>433.89</v>
      </c>
      <c r="J165" s="17">
        <v>313.43</v>
      </c>
    </row>
    <row r="166" spans="1:10" ht="15.75" thickBot="1">
      <c r="A166" s="15" t="s">
        <v>193</v>
      </c>
      <c r="B166" s="15" t="s">
        <v>48</v>
      </c>
      <c r="C166" s="15" t="s">
        <v>50</v>
      </c>
      <c r="D166" s="15" t="s">
        <v>13</v>
      </c>
      <c r="E166" s="15" t="s">
        <v>24</v>
      </c>
      <c r="F166" s="15" t="s">
        <v>15</v>
      </c>
      <c r="G166" s="16">
        <v>45091</v>
      </c>
      <c r="H166" s="17">
        <v>444</v>
      </c>
      <c r="I166" s="17">
        <v>496.7</v>
      </c>
      <c r="J166" s="17">
        <v>92.68</v>
      </c>
    </row>
    <row r="167" spans="1:10" ht="15.75" thickBot="1">
      <c r="A167" s="15" t="s">
        <v>194</v>
      </c>
      <c r="B167" s="15" t="s">
        <v>22</v>
      </c>
      <c r="C167" s="15" t="s">
        <v>18</v>
      </c>
      <c r="D167" s="15" t="s">
        <v>19</v>
      </c>
      <c r="E167" s="15" t="s">
        <v>14</v>
      </c>
      <c r="F167" s="15" t="s">
        <v>28</v>
      </c>
      <c r="G167" s="16">
        <v>45092</v>
      </c>
      <c r="H167" s="17">
        <v>468</v>
      </c>
      <c r="I167" s="17">
        <v>377.45</v>
      </c>
      <c r="J167" s="17">
        <v>390.44</v>
      </c>
    </row>
    <row r="168" spans="1:10" ht="15.75" thickBot="1">
      <c r="A168" s="15" t="s">
        <v>195</v>
      </c>
      <c r="B168" s="15" t="s">
        <v>17</v>
      </c>
      <c r="C168" s="15" t="s">
        <v>12</v>
      </c>
      <c r="D168" s="15" t="s">
        <v>27</v>
      </c>
      <c r="E168" s="15" t="s">
        <v>14</v>
      </c>
      <c r="F168" s="15" t="s">
        <v>28</v>
      </c>
      <c r="G168" s="16">
        <v>45093</v>
      </c>
      <c r="H168" s="17">
        <v>67</v>
      </c>
      <c r="I168" s="17">
        <v>49.79</v>
      </c>
      <c r="J168" s="17">
        <v>267.61</v>
      </c>
    </row>
    <row r="169" spans="1:10" ht="15.75" thickBot="1">
      <c r="A169" s="15" t="s">
        <v>196</v>
      </c>
      <c r="B169" s="15" t="s">
        <v>11</v>
      </c>
      <c r="C169" s="15" t="s">
        <v>50</v>
      </c>
      <c r="D169" s="15" t="s">
        <v>42</v>
      </c>
      <c r="E169" s="15" t="s">
        <v>24</v>
      </c>
      <c r="F169" s="15" t="s">
        <v>15</v>
      </c>
      <c r="G169" s="16">
        <v>45094</v>
      </c>
      <c r="H169" s="17">
        <v>480</v>
      </c>
      <c r="I169" s="17">
        <v>147.9</v>
      </c>
      <c r="J169" s="17">
        <v>6.15</v>
      </c>
    </row>
    <row r="170" spans="1:10" ht="15.75" thickBot="1">
      <c r="A170" s="15" t="s">
        <v>197</v>
      </c>
      <c r="B170" s="15" t="s">
        <v>11</v>
      </c>
      <c r="C170" s="15" t="s">
        <v>18</v>
      </c>
      <c r="D170" s="15" t="s">
        <v>27</v>
      </c>
      <c r="E170" s="15" t="s">
        <v>24</v>
      </c>
      <c r="F170" s="15" t="s">
        <v>28</v>
      </c>
      <c r="G170" s="16">
        <v>45095</v>
      </c>
      <c r="H170" s="17">
        <v>35</v>
      </c>
      <c r="I170" s="17">
        <v>59.01</v>
      </c>
      <c r="J170" s="17">
        <v>103.65</v>
      </c>
    </row>
    <row r="171" spans="1:10" ht="15.75" thickBot="1">
      <c r="A171" s="15" t="s">
        <v>198</v>
      </c>
      <c r="B171" s="15" t="s">
        <v>48</v>
      </c>
      <c r="C171" s="15" t="s">
        <v>26</v>
      </c>
      <c r="D171" s="15" t="s">
        <v>42</v>
      </c>
      <c r="E171" s="15" t="s">
        <v>24</v>
      </c>
      <c r="F171" s="15" t="s">
        <v>15</v>
      </c>
      <c r="G171" s="16">
        <v>45096</v>
      </c>
      <c r="H171" s="17">
        <v>491</v>
      </c>
      <c r="I171" s="17">
        <v>327</v>
      </c>
      <c r="J171" s="17">
        <v>105.76</v>
      </c>
    </row>
    <row r="172" spans="1:10" ht="15.75" thickBot="1">
      <c r="A172" s="15" t="s">
        <v>199</v>
      </c>
      <c r="B172" s="15" t="s">
        <v>17</v>
      </c>
      <c r="C172" s="15" t="s">
        <v>26</v>
      </c>
      <c r="D172" s="15" t="s">
        <v>19</v>
      </c>
      <c r="E172" s="15" t="s">
        <v>24</v>
      </c>
      <c r="F172" s="15" t="s">
        <v>20</v>
      </c>
      <c r="G172" s="16">
        <v>45097</v>
      </c>
      <c r="H172" s="17">
        <v>439</v>
      </c>
      <c r="I172" s="17">
        <v>383.77</v>
      </c>
      <c r="J172" s="17">
        <v>29.56</v>
      </c>
    </row>
    <row r="173" spans="1:10" ht="15.75" thickBot="1">
      <c r="A173" s="15" t="s">
        <v>200</v>
      </c>
      <c r="B173" s="15" t="s">
        <v>22</v>
      </c>
      <c r="C173" s="15" t="s">
        <v>18</v>
      </c>
      <c r="D173" s="15" t="s">
        <v>19</v>
      </c>
      <c r="E173" s="15" t="s">
        <v>14</v>
      </c>
      <c r="F173" s="15" t="s">
        <v>20</v>
      </c>
      <c r="G173" s="16">
        <v>45098</v>
      </c>
      <c r="H173" s="17">
        <v>235</v>
      </c>
      <c r="I173" s="17">
        <v>463.21</v>
      </c>
      <c r="J173" s="17">
        <v>384.01</v>
      </c>
    </row>
    <row r="174" spans="1:10" ht="15.75" thickBot="1">
      <c r="A174" s="15" t="s">
        <v>201</v>
      </c>
      <c r="B174" s="15" t="s">
        <v>11</v>
      </c>
      <c r="C174" s="15" t="s">
        <v>26</v>
      </c>
      <c r="D174" s="15" t="s">
        <v>13</v>
      </c>
      <c r="E174" s="15" t="s">
        <v>14</v>
      </c>
      <c r="F174" s="15" t="s">
        <v>28</v>
      </c>
      <c r="G174" s="16">
        <v>45099</v>
      </c>
      <c r="H174" s="17">
        <v>294</v>
      </c>
      <c r="I174" s="17">
        <v>221.9</v>
      </c>
      <c r="J174" s="17">
        <v>192.35</v>
      </c>
    </row>
    <row r="175" spans="1:10" ht="15.75" thickBot="1">
      <c r="A175" s="15" t="s">
        <v>202</v>
      </c>
      <c r="B175" s="15" t="s">
        <v>17</v>
      </c>
      <c r="C175" s="15" t="s">
        <v>18</v>
      </c>
      <c r="D175" s="15" t="s">
        <v>27</v>
      </c>
      <c r="E175" s="15" t="s">
        <v>14</v>
      </c>
      <c r="F175" s="15" t="s">
        <v>15</v>
      </c>
      <c r="G175" s="16">
        <v>45100</v>
      </c>
      <c r="H175" s="17">
        <v>13</v>
      </c>
      <c r="I175" s="17">
        <v>451.18</v>
      </c>
      <c r="J175" s="17">
        <v>358.53</v>
      </c>
    </row>
    <row r="176" spans="1:10" ht="15.75" thickBot="1">
      <c r="A176" s="15" t="s">
        <v>203</v>
      </c>
      <c r="B176" s="15" t="s">
        <v>17</v>
      </c>
      <c r="C176" s="15" t="s">
        <v>50</v>
      </c>
      <c r="D176" s="15" t="s">
        <v>13</v>
      </c>
      <c r="E176" s="15" t="s">
        <v>14</v>
      </c>
      <c r="F176" s="15" t="s">
        <v>15</v>
      </c>
      <c r="G176" s="16">
        <v>45101</v>
      </c>
      <c r="H176" s="17">
        <v>474</v>
      </c>
      <c r="I176" s="17">
        <v>439.56</v>
      </c>
      <c r="J176" s="17">
        <v>130.24</v>
      </c>
    </row>
    <row r="177" spans="1:10" ht="15.75" thickBot="1">
      <c r="A177" s="15" t="s">
        <v>204</v>
      </c>
      <c r="B177" s="15" t="s">
        <v>48</v>
      </c>
      <c r="C177" s="15" t="s">
        <v>50</v>
      </c>
      <c r="D177" s="15" t="s">
        <v>27</v>
      </c>
      <c r="E177" s="15" t="s">
        <v>24</v>
      </c>
      <c r="F177" s="15" t="s">
        <v>28</v>
      </c>
      <c r="G177" s="16">
        <v>45102</v>
      </c>
      <c r="H177" s="17">
        <v>108</v>
      </c>
      <c r="I177" s="17">
        <v>162.01</v>
      </c>
      <c r="J177" s="17">
        <v>51.84</v>
      </c>
    </row>
    <row r="178" spans="1:10" ht="15.75" thickBot="1">
      <c r="A178" s="15" t="s">
        <v>205</v>
      </c>
      <c r="B178" s="15" t="s">
        <v>11</v>
      </c>
      <c r="C178" s="15" t="s">
        <v>18</v>
      </c>
      <c r="D178" s="15" t="s">
        <v>13</v>
      </c>
      <c r="E178" s="15" t="s">
        <v>14</v>
      </c>
      <c r="F178" s="15" t="s">
        <v>20</v>
      </c>
      <c r="G178" s="16">
        <v>45103</v>
      </c>
      <c r="H178" s="17">
        <v>406</v>
      </c>
      <c r="I178" s="17">
        <v>435.11</v>
      </c>
      <c r="J178" s="17">
        <v>190.79</v>
      </c>
    </row>
    <row r="179" spans="1:10" ht="15.75" thickBot="1">
      <c r="A179" s="15" t="s">
        <v>206</v>
      </c>
      <c r="B179" s="15" t="s">
        <v>11</v>
      </c>
      <c r="C179" s="15" t="s">
        <v>50</v>
      </c>
      <c r="D179" s="15" t="s">
        <v>23</v>
      </c>
      <c r="E179" s="15" t="s">
        <v>14</v>
      </c>
      <c r="F179" s="15" t="s">
        <v>28</v>
      </c>
      <c r="G179" s="16">
        <v>45104</v>
      </c>
      <c r="H179" s="17">
        <v>498</v>
      </c>
      <c r="I179" s="17">
        <v>190.96</v>
      </c>
      <c r="J179" s="17">
        <v>47.35</v>
      </c>
    </row>
    <row r="180" spans="1:10" ht="15.75" thickBot="1">
      <c r="A180" s="15" t="s">
        <v>207</v>
      </c>
      <c r="B180" s="15" t="s">
        <v>22</v>
      </c>
      <c r="C180" s="15" t="s">
        <v>50</v>
      </c>
      <c r="D180" s="15" t="s">
        <v>23</v>
      </c>
      <c r="E180" s="15" t="s">
        <v>24</v>
      </c>
      <c r="F180" s="15" t="s">
        <v>20</v>
      </c>
      <c r="G180" s="16">
        <v>45105</v>
      </c>
      <c r="H180" s="17">
        <v>48</v>
      </c>
      <c r="I180" s="17">
        <v>151.94999999999999</v>
      </c>
      <c r="J180" s="17">
        <v>195.43</v>
      </c>
    </row>
    <row r="181" spans="1:10" ht="15.75" thickBot="1">
      <c r="A181" s="15" t="s">
        <v>208</v>
      </c>
      <c r="B181" s="15" t="s">
        <v>11</v>
      </c>
      <c r="C181" s="15" t="s">
        <v>50</v>
      </c>
      <c r="D181" s="15" t="s">
        <v>23</v>
      </c>
      <c r="E181" s="15" t="s">
        <v>14</v>
      </c>
      <c r="F181" s="15" t="s">
        <v>15</v>
      </c>
      <c r="G181" s="16">
        <v>45106</v>
      </c>
      <c r="H181" s="17">
        <v>280</v>
      </c>
      <c r="I181" s="17">
        <v>326.29000000000002</v>
      </c>
      <c r="J181" s="17">
        <v>368.28</v>
      </c>
    </row>
    <row r="182" spans="1:10" ht="15.75" thickBot="1">
      <c r="A182" s="15" t="s">
        <v>209</v>
      </c>
      <c r="B182" s="15" t="s">
        <v>22</v>
      </c>
      <c r="C182" s="15" t="s">
        <v>31</v>
      </c>
      <c r="D182" s="15" t="s">
        <v>23</v>
      </c>
      <c r="E182" s="15" t="s">
        <v>14</v>
      </c>
      <c r="F182" s="15" t="s">
        <v>20</v>
      </c>
      <c r="G182" s="16">
        <v>45107</v>
      </c>
      <c r="H182" s="17">
        <v>384</v>
      </c>
      <c r="I182" s="17">
        <v>167.55</v>
      </c>
      <c r="J182" s="17">
        <v>209.27</v>
      </c>
    </row>
    <row r="183" spans="1:10" ht="15.75" thickBot="1">
      <c r="A183" s="15" t="s">
        <v>210</v>
      </c>
      <c r="B183" s="15" t="s">
        <v>11</v>
      </c>
      <c r="C183" s="15" t="s">
        <v>12</v>
      </c>
      <c r="D183" s="15" t="s">
        <v>42</v>
      </c>
      <c r="E183" s="15" t="s">
        <v>14</v>
      </c>
      <c r="F183" s="15" t="s">
        <v>28</v>
      </c>
      <c r="G183" s="16">
        <v>45108</v>
      </c>
      <c r="H183" s="17">
        <v>294</v>
      </c>
      <c r="I183" s="17">
        <v>316.95</v>
      </c>
      <c r="J183" s="17">
        <v>247.37</v>
      </c>
    </row>
    <row r="184" spans="1:10" ht="15.75" thickBot="1">
      <c r="A184" s="15" t="s">
        <v>211</v>
      </c>
      <c r="B184" s="15" t="s">
        <v>48</v>
      </c>
      <c r="C184" s="15" t="s">
        <v>26</v>
      </c>
      <c r="D184" s="15" t="s">
        <v>23</v>
      </c>
      <c r="E184" s="15" t="s">
        <v>14</v>
      </c>
      <c r="F184" s="15" t="s">
        <v>15</v>
      </c>
      <c r="G184" s="16">
        <v>45109</v>
      </c>
      <c r="H184" s="17">
        <v>166</v>
      </c>
      <c r="I184" s="17">
        <v>306.87</v>
      </c>
      <c r="J184" s="17">
        <v>64.34</v>
      </c>
    </row>
    <row r="185" spans="1:10" ht="15.75" thickBot="1">
      <c r="A185" s="15" t="s">
        <v>212</v>
      </c>
      <c r="B185" s="15" t="s">
        <v>11</v>
      </c>
      <c r="C185" s="15" t="s">
        <v>31</v>
      </c>
      <c r="D185" s="15" t="s">
        <v>19</v>
      </c>
      <c r="E185" s="15" t="s">
        <v>14</v>
      </c>
      <c r="F185" s="15" t="s">
        <v>28</v>
      </c>
      <c r="G185" s="16">
        <v>45110</v>
      </c>
      <c r="H185" s="17">
        <v>84</v>
      </c>
      <c r="I185" s="17">
        <v>283.89999999999998</v>
      </c>
      <c r="J185" s="17">
        <v>19.41</v>
      </c>
    </row>
    <row r="186" spans="1:10" ht="15.75" thickBot="1">
      <c r="A186" s="15" t="s">
        <v>213</v>
      </c>
      <c r="B186" s="15" t="s">
        <v>22</v>
      </c>
      <c r="C186" s="15" t="s">
        <v>50</v>
      </c>
      <c r="D186" s="15" t="s">
        <v>19</v>
      </c>
      <c r="E186" s="15" t="s">
        <v>14</v>
      </c>
      <c r="F186" s="15" t="s">
        <v>28</v>
      </c>
      <c r="G186" s="16">
        <v>45111</v>
      </c>
      <c r="H186" s="17">
        <v>381</v>
      </c>
      <c r="I186" s="17">
        <v>193.31</v>
      </c>
      <c r="J186" s="17">
        <v>46.1</v>
      </c>
    </row>
    <row r="187" spans="1:10" ht="15.75" thickBot="1">
      <c r="A187" s="15" t="s">
        <v>214</v>
      </c>
      <c r="B187" s="15" t="s">
        <v>22</v>
      </c>
      <c r="C187" s="15" t="s">
        <v>18</v>
      </c>
      <c r="D187" s="15" t="s">
        <v>42</v>
      </c>
      <c r="E187" s="15" t="s">
        <v>24</v>
      </c>
      <c r="F187" s="15" t="s">
        <v>20</v>
      </c>
      <c r="G187" s="16">
        <v>45112</v>
      </c>
      <c r="H187" s="17">
        <v>297</v>
      </c>
      <c r="I187" s="17">
        <v>276.51</v>
      </c>
      <c r="J187" s="17">
        <v>240.22</v>
      </c>
    </row>
    <row r="188" spans="1:10" ht="15.75" thickBot="1">
      <c r="A188" s="15" t="s">
        <v>215</v>
      </c>
      <c r="B188" s="15" t="s">
        <v>48</v>
      </c>
      <c r="C188" s="15" t="s">
        <v>50</v>
      </c>
      <c r="D188" s="15" t="s">
        <v>23</v>
      </c>
      <c r="E188" s="15" t="s">
        <v>24</v>
      </c>
      <c r="F188" s="15" t="s">
        <v>28</v>
      </c>
      <c r="G188" s="16">
        <v>45113</v>
      </c>
      <c r="H188" s="17">
        <v>139</v>
      </c>
      <c r="I188" s="17">
        <v>300.26</v>
      </c>
      <c r="J188" s="17">
        <v>39.81</v>
      </c>
    </row>
    <row r="189" spans="1:10" ht="15.75" thickBot="1">
      <c r="A189" s="15" t="s">
        <v>216</v>
      </c>
      <c r="B189" s="15" t="s">
        <v>11</v>
      </c>
      <c r="C189" s="15" t="s">
        <v>12</v>
      </c>
      <c r="D189" s="15" t="s">
        <v>23</v>
      </c>
      <c r="E189" s="15" t="s">
        <v>14</v>
      </c>
      <c r="F189" s="15" t="s">
        <v>20</v>
      </c>
      <c r="G189" s="16">
        <v>45114</v>
      </c>
      <c r="H189" s="17">
        <v>184</v>
      </c>
      <c r="I189" s="17">
        <v>275.12</v>
      </c>
      <c r="J189" s="17">
        <v>151.65</v>
      </c>
    </row>
    <row r="190" spans="1:10" ht="15.75" thickBot="1">
      <c r="A190" s="15" t="s">
        <v>217</v>
      </c>
      <c r="B190" s="15" t="s">
        <v>11</v>
      </c>
      <c r="C190" s="15" t="s">
        <v>50</v>
      </c>
      <c r="D190" s="15" t="s">
        <v>23</v>
      </c>
      <c r="E190" s="15" t="s">
        <v>14</v>
      </c>
      <c r="F190" s="15" t="s">
        <v>15</v>
      </c>
      <c r="G190" s="16">
        <v>45115</v>
      </c>
      <c r="H190" s="17">
        <v>471</v>
      </c>
      <c r="I190" s="17">
        <v>224.99</v>
      </c>
      <c r="J190" s="17">
        <v>220.94</v>
      </c>
    </row>
    <row r="191" spans="1:10" ht="15.75" thickBot="1">
      <c r="A191" s="15" t="s">
        <v>218</v>
      </c>
      <c r="B191" s="15" t="s">
        <v>48</v>
      </c>
      <c r="C191" s="15" t="s">
        <v>18</v>
      </c>
      <c r="D191" s="15" t="s">
        <v>13</v>
      </c>
      <c r="E191" s="15" t="s">
        <v>24</v>
      </c>
      <c r="F191" s="15" t="s">
        <v>20</v>
      </c>
      <c r="G191" s="16">
        <v>45116</v>
      </c>
      <c r="H191" s="17">
        <v>93</v>
      </c>
      <c r="I191" s="17">
        <v>12.26</v>
      </c>
      <c r="J191" s="17">
        <v>156.68</v>
      </c>
    </row>
    <row r="192" spans="1:10" ht="15.75" thickBot="1">
      <c r="A192" s="15" t="s">
        <v>219</v>
      </c>
      <c r="B192" s="15" t="s">
        <v>11</v>
      </c>
      <c r="C192" s="15" t="s">
        <v>12</v>
      </c>
      <c r="D192" s="15" t="s">
        <v>27</v>
      </c>
      <c r="E192" s="15" t="s">
        <v>14</v>
      </c>
      <c r="F192" s="15" t="s">
        <v>15</v>
      </c>
      <c r="G192" s="16">
        <v>45117</v>
      </c>
      <c r="H192" s="17">
        <v>31</v>
      </c>
      <c r="I192" s="17">
        <v>295.60000000000002</v>
      </c>
      <c r="J192" s="17">
        <v>67.150000000000006</v>
      </c>
    </row>
    <row r="193" spans="1:10" ht="15.75" thickBot="1">
      <c r="A193" s="15" t="s">
        <v>220</v>
      </c>
      <c r="B193" s="15" t="s">
        <v>11</v>
      </c>
      <c r="C193" s="15" t="s">
        <v>50</v>
      </c>
      <c r="D193" s="15" t="s">
        <v>13</v>
      </c>
      <c r="E193" s="15" t="s">
        <v>14</v>
      </c>
      <c r="F193" s="15" t="s">
        <v>20</v>
      </c>
      <c r="G193" s="16">
        <v>45118</v>
      </c>
      <c r="H193" s="17">
        <v>468</v>
      </c>
      <c r="I193" s="17">
        <v>88.38</v>
      </c>
      <c r="J193" s="17">
        <v>110.97</v>
      </c>
    </row>
    <row r="194" spans="1:10" ht="15.75" thickBot="1">
      <c r="A194" s="15" t="s">
        <v>221</v>
      </c>
      <c r="B194" s="15" t="s">
        <v>22</v>
      </c>
      <c r="C194" s="15" t="s">
        <v>12</v>
      </c>
      <c r="D194" s="15" t="s">
        <v>27</v>
      </c>
      <c r="E194" s="15" t="s">
        <v>14</v>
      </c>
      <c r="F194" s="15" t="s">
        <v>28</v>
      </c>
      <c r="G194" s="16">
        <v>45119</v>
      </c>
      <c r="H194" s="17">
        <v>36</v>
      </c>
      <c r="I194" s="17">
        <v>323.08</v>
      </c>
      <c r="J194" s="17">
        <v>371.47</v>
      </c>
    </row>
    <row r="195" spans="1:10" ht="15.75" thickBot="1">
      <c r="A195" s="15" t="s">
        <v>222</v>
      </c>
      <c r="B195" s="15" t="s">
        <v>11</v>
      </c>
      <c r="C195" s="15" t="s">
        <v>26</v>
      </c>
      <c r="D195" s="15" t="s">
        <v>23</v>
      </c>
      <c r="E195" s="15" t="s">
        <v>24</v>
      </c>
      <c r="F195" s="15" t="s">
        <v>20</v>
      </c>
      <c r="G195" s="16">
        <v>45120</v>
      </c>
      <c r="H195" s="17">
        <v>204</v>
      </c>
      <c r="I195" s="17">
        <v>380.88</v>
      </c>
      <c r="J195" s="17">
        <v>271.04000000000002</v>
      </c>
    </row>
    <row r="196" spans="1:10" ht="15.75" thickBot="1">
      <c r="A196" s="15" t="s">
        <v>223</v>
      </c>
      <c r="B196" s="15" t="s">
        <v>11</v>
      </c>
      <c r="C196" s="15" t="s">
        <v>26</v>
      </c>
      <c r="D196" s="15" t="s">
        <v>23</v>
      </c>
      <c r="E196" s="15" t="s">
        <v>14</v>
      </c>
      <c r="F196" s="15" t="s">
        <v>20</v>
      </c>
      <c r="G196" s="16">
        <v>45121</v>
      </c>
      <c r="H196" s="17">
        <v>346</v>
      </c>
      <c r="I196" s="17">
        <v>252.72</v>
      </c>
      <c r="J196" s="17">
        <v>199.43</v>
      </c>
    </row>
    <row r="197" spans="1:10" ht="15.75" thickBot="1">
      <c r="A197" s="15" t="s">
        <v>224</v>
      </c>
      <c r="B197" s="15" t="s">
        <v>48</v>
      </c>
      <c r="C197" s="15" t="s">
        <v>50</v>
      </c>
      <c r="D197" s="15" t="s">
        <v>13</v>
      </c>
      <c r="E197" s="15" t="s">
        <v>24</v>
      </c>
      <c r="F197" s="15" t="s">
        <v>15</v>
      </c>
      <c r="G197" s="16">
        <v>45122</v>
      </c>
      <c r="H197" s="17">
        <v>391</v>
      </c>
      <c r="I197" s="17">
        <v>273.47000000000003</v>
      </c>
      <c r="J197" s="17">
        <v>7.06</v>
      </c>
    </row>
    <row r="198" spans="1:10" ht="15.75" thickBot="1">
      <c r="A198" s="15" t="s">
        <v>225</v>
      </c>
      <c r="B198" s="15" t="s">
        <v>48</v>
      </c>
      <c r="C198" s="15" t="s">
        <v>12</v>
      </c>
      <c r="D198" s="15" t="s">
        <v>13</v>
      </c>
      <c r="E198" s="15" t="s">
        <v>14</v>
      </c>
      <c r="F198" s="15" t="s">
        <v>28</v>
      </c>
      <c r="G198" s="16">
        <v>45123</v>
      </c>
      <c r="H198" s="17">
        <v>245</v>
      </c>
      <c r="I198" s="17">
        <v>475.98</v>
      </c>
      <c r="J198" s="17">
        <v>396.98</v>
      </c>
    </row>
    <row r="199" spans="1:10" ht="15.75" thickBot="1">
      <c r="A199" s="15" t="s">
        <v>226</v>
      </c>
      <c r="B199" s="15" t="s">
        <v>17</v>
      </c>
      <c r="C199" s="15" t="s">
        <v>18</v>
      </c>
      <c r="D199" s="15" t="s">
        <v>27</v>
      </c>
      <c r="E199" s="15" t="s">
        <v>24</v>
      </c>
      <c r="F199" s="15" t="s">
        <v>20</v>
      </c>
      <c r="G199" s="16">
        <v>45124</v>
      </c>
      <c r="H199" s="17">
        <v>449</v>
      </c>
      <c r="I199" s="17">
        <v>424.35</v>
      </c>
      <c r="J199" s="17">
        <v>269.24</v>
      </c>
    </row>
    <row r="200" spans="1:10" ht="15.75" thickBot="1">
      <c r="A200" s="15" t="s">
        <v>227</v>
      </c>
      <c r="B200" s="15" t="s">
        <v>22</v>
      </c>
      <c r="C200" s="15" t="s">
        <v>50</v>
      </c>
      <c r="D200" s="15" t="s">
        <v>19</v>
      </c>
      <c r="E200" s="15" t="s">
        <v>24</v>
      </c>
      <c r="F200" s="15" t="s">
        <v>28</v>
      </c>
      <c r="G200" s="16">
        <v>45125</v>
      </c>
      <c r="H200" s="17">
        <v>101</v>
      </c>
      <c r="I200" s="17">
        <v>457.55</v>
      </c>
      <c r="J200" s="17">
        <v>128.13999999999999</v>
      </c>
    </row>
    <row r="201" spans="1:10" ht="15.75" thickBot="1">
      <c r="A201" s="15" t="s">
        <v>228</v>
      </c>
      <c r="B201" s="15" t="s">
        <v>11</v>
      </c>
      <c r="C201" s="15" t="s">
        <v>26</v>
      </c>
      <c r="D201" s="15" t="s">
        <v>27</v>
      </c>
      <c r="E201" s="15" t="s">
        <v>14</v>
      </c>
      <c r="F201" s="15" t="s">
        <v>20</v>
      </c>
      <c r="G201" s="16">
        <v>45126</v>
      </c>
      <c r="H201" s="15"/>
      <c r="I201" s="17">
        <v>407.81</v>
      </c>
      <c r="J201" s="17">
        <v>351.95</v>
      </c>
    </row>
    <row r="202" spans="1:10" ht="15.75" thickBot="1">
      <c r="A202" s="15" t="s">
        <v>229</v>
      </c>
      <c r="B202" s="15" t="s">
        <v>11</v>
      </c>
      <c r="C202" s="15" t="s">
        <v>26</v>
      </c>
      <c r="D202" s="15" t="s">
        <v>13</v>
      </c>
      <c r="E202" s="15" t="s">
        <v>24</v>
      </c>
      <c r="F202" s="15" t="s">
        <v>20</v>
      </c>
      <c r="G202" s="16">
        <v>45127</v>
      </c>
      <c r="H202" s="17">
        <v>30</v>
      </c>
      <c r="I202" s="17">
        <v>58.91</v>
      </c>
      <c r="J202" s="17">
        <v>104.86</v>
      </c>
    </row>
    <row r="203" spans="1:10" ht="15.75" thickBot="1">
      <c r="A203" s="15" t="s">
        <v>230</v>
      </c>
      <c r="B203" s="15" t="s">
        <v>17</v>
      </c>
      <c r="C203" s="15" t="s">
        <v>50</v>
      </c>
      <c r="D203" s="15" t="s">
        <v>13</v>
      </c>
      <c r="E203" s="15" t="s">
        <v>14</v>
      </c>
      <c r="F203" s="15" t="s">
        <v>28</v>
      </c>
      <c r="G203" s="16">
        <v>45128</v>
      </c>
      <c r="H203" s="17">
        <v>312</v>
      </c>
      <c r="I203" s="17">
        <v>78.75</v>
      </c>
      <c r="J203" s="17">
        <v>218.52</v>
      </c>
    </row>
    <row r="204" spans="1:10" ht="15.75" thickBot="1">
      <c r="A204" s="15" t="s">
        <v>231</v>
      </c>
      <c r="B204" s="15" t="s">
        <v>11</v>
      </c>
      <c r="C204" s="15" t="s">
        <v>12</v>
      </c>
      <c r="D204" s="15" t="s">
        <v>42</v>
      </c>
      <c r="E204" s="15" t="s">
        <v>24</v>
      </c>
      <c r="F204" s="15" t="s">
        <v>20</v>
      </c>
      <c r="G204" s="16">
        <v>45129</v>
      </c>
      <c r="H204" s="17">
        <v>473</v>
      </c>
      <c r="I204" s="17">
        <v>265.68</v>
      </c>
      <c r="J204" s="17">
        <v>255.16</v>
      </c>
    </row>
    <row r="205" spans="1:10" ht="15.75" thickBot="1">
      <c r="A205" s="15" t="s">
        <v>232</v>
      </c>
      <c r="B205" s="15" t="s">
        <v>22</v>
      </c>
      <c r="C205" s="15" t="s">
        <v>26</v>
      </c>
      <c r="D205" s="15" t="s">
        <v>13</v>
      </c>
      <c r="E205" s="15" t="s">
        <v>14</v>
      </c>
      <c r="F205" s="15" t="s">
        <v>28</v>
      </c>
      <c r="G205" s="16">
        <v>45130</v>
      </c>
      <c r="H205" s="17">
        <v>366</v>
      </c>
      <c r="I205" s="17">
        <v>126.8</v>
      </c>
      <c r="J205" s="17">
        <v>89.98</v>
      </c>
    </row>
    <row r="206" spans="1:10" ht="15.75" thickBot="1">
      <c r="A206" s="15" t="s">
        <v>233</v>
      </c>
      <c r="B206" s="15" t="s">
        <v>17</v>
      </c>
      <c r="C206" s="15" t="s">
        <v>12</v>
      </c>
      <c r="D206" s="15" t="s">
        <v>42</v>
      </c>
      <c r="E206" s="15" t="s">
        <v>14</v>
      </c>
      <c r="F206" s="15" t="s">
        <v>20</v>
      </c>
      <c r="G206" s="16">
        <v>45131</v>
      </c>
      <c r="H206" s="17">
        <v>452</v>
      </c>
      <c r="I206" s="17">
        <v>240.96</v>
      </c>
      <c r="J206" s="17">
        <v>391.4</v>
      </c>
    </row>
    <row r="207" spans="1:10" ht="15.75" thickBot="1">
      <c r="A207" s="15" t="s">
        <v>234</v>
      </c>
      <c r="B207" s="15" t="s">
        <v>22</v>
      </c>
      <c r="C207" s="15" t="s">
        <v>26</v>
      </c>
      <c r="D207" s="15" t="s">
        <v>19</v>
      </c>
      <c r="E207" s="15" t="s">
        <v>24</v>
      </c>
      <c r="F207" s="15" t="s">
        <v>15</v>
      </c>
      <c r="G207" s="16">
        <v>45132</v>
      </c>
      <c r="H207" s="17">
        <v>93</v>
      </c>
      <c r="I207" s="17">
        <v>200.21</v>
      </c>
      <c r="J207" s="17">
        <v>299.77999999999997</v>
      </c>
    </row>
    <row r="208" spans="1:10" ht="15.75" thickBot="1">
      <c r="A208" s="15" t="s">
        <v>235</v>
      </c>
      <c r="B208" s="15" t="s">
        <v>17</v>
      </c>
      <c r="C208" s="15" t="s">
        <v>26</v>
      </c>
      <c r="D208" s="15" t="s">
        <v>27</v>
      </c>
      <c r="E208" s="15" t="s">
        <v>14</v>
      </c>
      <c r="F208" s="15" t="s">
        <v>28</v>
      </c>
      <c r="G208" s="16">
        <v>45133</v>
      </c>
      <c r="H208" s="17">
        <v>271</v>
      </c>
      <c r="I208" s="17">
        <v>276.95999999999998</v>
      </c>
      <c r="J208" s="17">
        <v>224.01</v>
      </c>
    </row>
    <row r="209" spans="1:10" ht="15.75" thickBot="1">
      <c r="A209" s="15" t="s">
        <v>236</v>
      </c>
      <c r="B209" s="15" t="s">
        <v>17</v>
      </c>
      <c r="C209" s="15" t="s">
        <v>31</v>
      </c>
      <c r="D209" s="15" t="s">
        <v>27</v>
      </c>
      <c r="E209" s="15" t="s">
        <v>14</v>
      </c>
      <c r="F209" s="15" t="s">
        <v>20</v>
      </c>
      <c r="G209" s="16">
        <v>45134</v>
      </c>
      <c r="H209" s="17">
        <v>156</v>
      </c>
      <c r="I209" s="17">
        <v>374.7</v>
      </c>
      <c r="J209" s="17">
        <v>73.88</v>
      </c>
    </row>
    <row r="210" spans="1:10" ht="15.75" thickBot="1">
      <c r="A210" s="15" t="s">
        <v>237</v>
      </c>
      <c r="B210" s="15" t="s">
        <v>48</v>
      </c>
      <c r="C210" s="15" t="s">
        <v>26</v>
      </c>
      <c r="D210" s="15" t="s">
        <v>42</v>
      </c>
      <c r="E210" s="15" t="s">
        <v>24</v>
      </c>
      <c r="F210" s="15" t="s">
        <v>20</v>
      </c>
      <c r="G210" s="16">
        <v>45135</v>
      </c>
      <c r="H210" s="17">
        <v>450</v>
      </c>
      <c r="I210" s="17">
        <v>359.17</v>
      </c>
      <c r="J210" s="17">
        <v>23.44</v>
      </c>
    </row>
    <row r="211" spans="1:10" ht="15.75" thickBot="1">
      <c r="A211" s="15" t="s">
        <v>238</v>
      </c>
      <c r="B211" s="15" t="s">
        <v>22</v>
      </c>
      <c r="C211" s="15" t="s">
        <v>18</v>
      </c>
      <c r="D211" s="15" t="s">
        <v>27</v>
      </c>
      <c r="E211" s="15" t="s">
        <v>14</v>
      </c>
      <c r="F211" s="15" t="s">
        <v>15</v>
      </c>
      <c r="G211" s="16">
        <v>45136</v>
      </c>
      <c r="H211" s="17">
        <v>462</v>
      </c>
      <c r="I211" s="17">
        <v>263.01</v>
      </c>
      <c r="J211" s="17">
        <v>129.38</v>
      </c>
    </row>
    <row r="212" spans="1:10" ht="15.75" thickBot="1">
      <c r="A212" s="15" t="s">
        <v>239</v>
      </c>
      <c r="B212" s="15" t="s">
        <v>11</v>
      </c>
      <c r="C212" s="15" t="s">
        <v>50</v>
      </c>
      <c r="D212" s="15"/>
      <c r="E212" s="15" t="s">
        <v>14</v>
      </c>
      <c r="F212" s="15" t="s">
        <v>28</v>
      </c>
      <c r="G212" s="16">
        <v>45137</v>
      </c>
      <c r="H212" s="17">
        <v>396</v>
      </c>
      <c r="I212" s="17">
        <v>412.08</v>
      </c>
      <c r="J212" s="17">
        <v>301.77</v>
      </c>
    </row>
    <row r="213" spans="1:10" ht="15.75" thickBot="1">
      <c r="A213" s="15" t="s">
        <v>240</v>
      </c>
      <c r="B213" s="15" t="s">
        <v>11</v>
      </c>
      <c r="C213" s="15" t="s">
        <v>50</v>
      </c>
      <c r="D213" s="15" t="s">
        <v>23</v>
      </c>
      <c r="E213" s="15" t="s">
        <v>24</v>
      </c>
      <c r="F213" s="15" t="s">
        <v>20</v>
      </c>
      <c r="G213" s="16">
        <v>45138</v>
      </c>
      <c r="H213" s="17">
        <v>266</v>
      </c>
      <c r="I213" s="17">
        <v>218.28</v>
      </c>
      <c r="J213" s="17">
        <v>109.19</v>
      </c>
    </row>
    <row r="214" spans="1:10" ht="15.75" thickBot="1">
      <c r="A214" s="15" t="s">
        <v>241</v>
      </c>
      <c r="B214" s="15" t="s">
        <v>22</v>
      </c>
      <c r="C214" s="15" t="s">
        <v>12</v>
      </c>
      <c r="D214" s="15" t="s">
        <v>42</v>
      </c>
      <c r="E214" s="15" t="s">
        <v>24</v>
      </c>
      <c r="F214" s="15" t="s">
        <v>15</v>
      </c>
      <c r="G214" s="16">
        <v>45139</v>
      </c>
      <c r="H214" s="17">
        <v>67</v>
      </c>
      <c r="I214" s="17">
        <v>448.87</v>
      </c>
      <c r="J214" s="17">
        <v>216.74</v>
      </c>
    </row>
    <row r="215" spans="1:10" ht="15.75" thickBot="1">
      <c r="A215" s="15" t="s">
        <v>242</v>
      </c>
      <c r="B215" s="15" t="s">
        <v>11</v>
      </c>
      <c r="C215" s="15" t="s">
        <v>26</v>
      </c>
      <c r="D215" s="15" t="s">
        <v>27</v>
      </c>
      <c r="E215" s="15" t="s">
        <v>14</v>
      </c>
      <c r="F215" s="15" t="s">
        <v>20</v>
      </c>
      <c r="G215" s="16">
        <v>45140</v>
      </c>
      <c r="H215" s="17">
        <v>389</v>
      </c>
      <c r="I215" s="17">
        <v>40.28</v>
      </c>
      <c r="J215" s="17">
        <v>291.72000000000003</v>
      </c>
    </row>
    <row r="216" spans="1:10" ht="15.75" thickBot="1">
      <c r="A216" s="15" t="s">
        <v>243</v>
      </c>
      <c r="B216" s="15" t="s">
        <v>11</v>
      </c>
      <c r="C216" s="15" t="s">
        <v>18</v>
      </c>
      <c r="D216" s="15" t="s">
        <v>42</v>
      </c>
      <c r="E216" s="15" t="s">
        <v>14</v>
      </c>
      <c r="F216" s="15" t="s">
        <v>28</v>
      </c>
      <c r="G216" s="16">
        <v>45141</v>
      </c>
      <c r="H216" s="17">
        <v>431</v>
      </c>
      <c r="I216" s="17">
        <v>477.56</v>
      </c>
      <c r="J216" s="17">
        <v>44.96</v>
      </c>
    </row>
    <row r="217" spans="1:10" ht="15.75" thickBot="1">
      <c r="A217" s="15" t="s">
        <v>244</v>
      </c>
      <c r="B217" s="15" t="s">
        <v>22</v>
      </c>
      <c r="C217" s="15" t="s">
        <v>12</v>
      </c>
      <c r="D217" s="15" t="s">
        <v>42</v>
      </c>
      <c r="E217" s="15" t="s">
        <v>24</v>
      </c>
      <c r="F217" s="15" t="s">
        <v>20</v>
      </c>
      <c r="G217" s="16">
        <v>45142</v>
      </c>
      <c r="H217" s="17">
        <v>24</v>
      </c>
      <c r="I217" s="17">
        <v>329.07</v>
      </c>
      <c r="J217" s="17">
        <v>274.75</v>
      </c>
    </row>
    <row r="218" spans="1:10" ht="15.75" thickBot="1">
      <c r="A218" s="15" t="s">
        <v>245</v>
      </c>
      <c r="B218" s="15" t="s">
        <v>17</v>
      </c>
      <c r="C218" s="15" t="s">
        <v>31</v>
      </c>
      <c r="D218" s="15" t="s">
        <v>23</v>
      </c>
      <c r="E218" s="15" t="s">
        <v>24</v>
      </c>
      <c r="F218" s="15" t="s">
        <v>20</v>
      </c>
      <c r="G218" s="16">
        <v>45143</v>
      </c>
      <c r="H218" s="17">
        <v>171</v>
      </c>
      <c r="I218" s="17">
        <v>193.14</v>
      </c>
      <c r="J218" s="17">
        <v>38.56</v>
      </c>
    </row>
    <row r="219" spans="1:10" ht="15.75" thickBot="1">
      <c r="A219" s="15" t="s">
        <v>246</v>
      </c>
      <c r="B219" s="15" t="s">
        <v>22</v>
      </c>
      <c r="C219" s="15" t="s">
        <v>12</v>
      </c>
      <c r="D219" s="15" t="s">
        <v>13</v>
      </c>
      <c r="E219" s="15" t="s">
        <v>14</v>
      </c>
      <c r="F219" s="15" t="s">
        <v>20</v>
      </c>
      <c r="G219" s="16">
        <v>45144</v>
      </c>
      <c r="H219" s="17">
        <v>454</v>
      </c>
      <c r="I219" s="17">
        <v>102.59</v>
      </c>
      <c r="J219" s="17">
        <v>386.12</v>
      </c>
    </row>
    <row r="220" spans="1:10" ht="15.75" thickBot="1">
      <c r="A220" s="15" t="s">
        <v>247</v>
      </c>
      <c r="B220" s="15" t="s">
        <v>17</v>
      </c>
      <c r="C220" s="15" t="s">
        <v>12</v>
      </c>
      <c r="D220" s="15" t="s">
        <v>42</v>
      </c>
      <c r="E220" s="15" t="s">
        <v>24</v>
      </c>
      <c r="F220" s="15" t="s">
        <v>20</v>
      </c>
      <c r="G220" s="16">
        <v>45145</v>
      </c>
      <c r="H220" s="17">
        <v>172</v>
      </c>
      <c r="I220" s="17">
        <v>242.2</v>
      </c>
      <c r="J220" s="17">
        <v>196.38</v>
      </c>
    </row>
    <row r="221" spans="1:10" ht="15.75" thickBot="1">
      <c r="A221" s="15" t="s">
        <v>248</v>
      </c>
      <c r="B221" s="15" t="s">
        <v>11</v>
      </c>
      <c r="C221" s="15" t="s">
        <v>26</v>
      </c>
      <c r="D221" s="15" t="s">
        <v>27</v>
      </c>
      <c r="E221" s="15" t="s">
        <v>14</v>
      </c>
      <c r="F221" s="15" t="s">
        <v>15</v>
      </c>
      <c r="G221" s="16">
        <v>45146</v>
      </c>
      <c r="H221" s="17">
        <v>329</v>
      </c>
      <c r="I221" s="17">
        <v>101.31</v>
      </c>
      <c r="J221" s="17">
        <v>61.97</v>
      </c>
    </row>
    <row r="222" spans="1:10" ht="15.75" thickBot="1">
      <c r="A222" s="15" t="s">
        <v>249</v>
      </c>
      <c r="B222" s="15" t="s">
        <v>11</v>
      </c>
      <c r="C222" s="15" t="s">
        <v>31</v>
      </c>
      <c r="D222" s="15" t="s">
        <v>19</v>
      </c>
      <c r="E222" s="15" t="s">
        <v>14</v>
      </c>
      <c r="F222" s="15" t="s">
        <v>15</v>
      </c>
      <c r="G222" s="16">
        <v>45147</v>
      </c>
      <c r="H222" s="17">
        <v>290</v>
      </c>
      <c r="I222" s="17">
        <v>87.33</v>
      </c>
      <c r="J222" s="17">
        <v>138.27000000000001</v>
      </c>
    </row>
    <row r="223" spans="1:10" ht="15.75" thickBot="1">
      <c r="A223" s="15" t="s">
        <v>250</v>
      </c>
      <c r="B223" s="15"/>
      <c r="C223" s="15" t="s">
        <v>12</v>
      </c>
      <c r="D223" s="15" t="s">
        <v>42</v>
      </c>
      <c r="E223" s="15" t="s">
        <v>14</v>
      </c>
      <c r="F223" s="15" t="s">
        <v>28</v>
      </c>
      <c r="G223" s="16">
        <v>45148</v>
      </c>
      <c r="H223" s="17">
        <v>289</v>
      </c>
      <c r="I223" s="17">
        <v>310.58999999999997</v>
      </c>
      <c r="J223" s="17">
        <v>166.54</v>
      </c>
    </row>
    <row r="224" spans="1:10" ht="15.75" thickBot="1">
      <c r="A224" s="15" t="s">
        <v>251</v>
      </c>
      <c r="B224" s="15" t="s">
        <v>48</v>
      </c>
      <c r="C224" s="15" t="s">
        <v>18</v>
      </c>
      <c r="D224" s="15" t="s">
        <v>42</v>
      </c>
      <c r="E224" s="15" t="s">
        <v>14</v>
      </c>
      <c r="F224" s="15" t="s">
        <v>15</v>
      </c>
      <c r="G224" s="16">
        <v>45149</v>
      </c>
      <c r="H224" s="17">
        <v>21</v>
      </c>
      <c r="I224" s="17">
        <v>263.93</v>
      </c>
      <c r="J224" s="17">
        <v>303.76</v>
      </c>
    </row>
    <row r="225" spans="1:10" ht="15.75" thickBot="1">
      <c r="A225" s="15" t="s">
        <v>252</v>
      </c>
      <c r="B225" s="15" t="s">
        <v>17</v>
      </c>
      <c r="C225" s="15" t="s">
        <v>18</v>
      </c>
      <c r="D225" s="15" t="s">
        <v>23</v>
      </c>
      <c r="E225" s="15" t="s">
        <v>14</v>
      </c>
      <c r="F225" s="15" t="s">
        <v>15</v>
      </c>
      <c r="G225" s="16">
        <v>45150</v>
      </c>
      <c r="H225" s="17">
        <v>283</v>
      </c>
      <c r="I225" s="17">
        <v>336.7</v>
      </c>
      <c r="J225" s="17">
        <v>297.88</v>
      </c>
    </row>
    <row r="226" spans="1:10" ht="15.75" thickBot="1">
      <c r="A226" s="15" t="s">
        <v>253</v>
      </c>
      <c r="B226" s="15" t="s">
        <v>48</v>
      </c>
      <c r="C226" s="15" t="s">
        <v>50</v>
      </c>
      <c r="D226" s="15" t="s">
        <v>13</v>
      </c>
      <c r="E226" s="15" t="s">
        <v>24</v>
      </c>
      <c r="F226" s="15" t="s">
        <v>28</v>
      </c>
      <c r="G226" s="16">
        <v>45151</v>
      </c>
      <c r="H226" s="17">
        <v>280</v>
      </c>
      <c r="I226" s="17">
        <v>465.15</v>
      </c>
      <c r="J226" s="17">
        <v>245.55</v>
      </c>
    </row>
    <row r="227" spans="1:10" ht="15.75" thickBot="1">
      <c r="A227" s="15" t="s">
        <v>254</v>
      </c>
      <c r="B227" s="15" t="s">
        <v>48</v>
      </c>
      <c r="C227" s="15" t="s">
        <v>31</v>
      </c>
      <c r="D227" s="15" t="s">
        <v>19</v>
      </c>
      <c r="E227" s="15" t="s">
        <v>24</v>
      </c>
      <c r="F227" s="15" t="s">
        <v>15</v>
      </c>
      <c r="G227" s="16">
        <v>45152</v>
      </c>
      <c r="H227" s="17">
        <v>217</v>
      </c>
      <c r="I227" s="17">
        <v>268.47000000000003</v>
      </c>
      <c r="J227" s="17">
        <v>44.16</v>
      </c>
    </row>
    <row r="228" spans="1:10" ht="15.75" thickBot="1">
      <c r="A228" s="15" t="s">
        <v>255</v>
      </c>
      <c r="B228" s="15" t="s">
        <v>22</v>
      </c>
      <c r="C228" s="15" t="s">
        <v>31</v>
      </c>
      <c r="D228" s="15" t="s">
        <v>27</v>
      </c>
      <c r="E228" s="15" t="s">
        <v>24</v>
      </c>
      <c r="F228" s="15" t="s">
        <v>15</v>
      </c>
      <c r="G228" s="16">
        <v>45153</v>
      </c>
      <c r="H228" s="17">
        <v>36</v>
      </c>
      <c r="I228" s="17">
        <v>292.56</v>
      </c>
      <c r="J228" s="17">
        <v>62.32</v>
      </c>
    </row>
    <row r="229" spans="1:10" ht="15.75" thickBot="1">
      <c r="A229" s="15" t="s">
        <v>256</v>
      </c>
      <c r="B229" s="15" t="s">
        <v>48</v>
      </c>
      <c r="C229" s="15" t="s">
        <v>50</v>
      </c>
      <c r="D229" s="15" t="s">
        <v>19</v>
      </c>
      <c r="E229" s="15" t="s">
        <v>24</v>
      </c>
      <c r="F229" s="15" t="s">
        <v>28</v>
      </c>
      <c r="G229" s="16">
        <v>45154</v>
      </c>
      <c r="H229" s="15"/>
      <c r="I229" s="17">
        <v>49.37</v>
      </c>
      <c r="J229" s="17">
        <v>39.32</v>
      </c>
    </row>
    <row r="230" spans="1:10" ht="15.75" thickBot="1">
      <c r="A230" s="15" t="s">
        <v>257</v>
      </c>
      <c r="B230" s="15" t="s">
        <v>22</v>
      </c>
      <c r="C230" s="15" t="s">
        <v>12</v>
      </c>
      <c r="D230" s="15" t="s">
        <v>27</v>
      </c>
      <c r="E230" s="15" t="s">
        <v>14</v>
      </c>
      <c r="F230" s="15" t="s">
        <v>28</v>
      </c>
      <c r="G230" s="16">
        <v>45155</v>
      </c>
      <c r="H230" s="17">
        <v>69</v>
      </c>
      <c r="I230" s="17">
        <v>360.23</v>
      </c>
      <c r="J230" s="17">
        <v>231.71</v>
      </c>
    </row>
    <row r="231" spans="1:10" ht="15.75" thickBot="1">
      <c r="A231" s="15" t="s">
        <v>258</v>
      </c>
      <c r="B231" s="15" t="s">
        <v>22</v>
      </c>
      <c r="C231" s="15" t="s">
        <v>31</v>
      </c>
      <c r="D231" s="15" t="s">
        <v>13</v>
      </c>
      <c r="E231" s="15" t="s">
        <v>14</v>
      </c>
      <c r="F231" s="15" t="s">
        <v>28</v>
      </c>
      <c r="G231" s="16">
        <v>45156</v>
      </c>
      <c r="H231" s="17">
        <v>439</v>
      </c>
      <c r="I231" s="17">
        <v>202.95</v>
      </c>
      <c r="J231" s="17">
        <v>351.1</v>
      </c>
    </row>
    <row r="232" spans="1:10" ht="15.75" thickBot="1">
      <c r="A232" s="15" t="s">
        <v>259</v>
      </c>
      <c r="B232" s="15" t="s">
        <v>48</v>
      </c>
      <c r="C232" s="15" t="s">
        <v>18</v>
      </c>
      <c r="D232" s="15" t="s">
        <v>27</v>
      </c>
      <c r="E232" s="15" t="s">
        <v>14</v>
      </c>
      <c r="F232" s="15" t="s">
        <v>20</v>
      </c>
      <c r="G232" s="16">
        <v>45157</v>
      </c>
      <c r="H232" s="17">
        <v>482</v>
      </c>
      <c r="I232" s="17">
        <v>488.48</v>
      </c>
      <c r="J232" s="17">
        <v>174.65</v>
      </c>
    </row>
    <row r="233" spans="1:10" ht="15.75" thickBot="1">
      <c r="A233" s="15" t="s">
        <v>260</v>
      </c>
      <c r="B233" s="15" t="s">
        <v>17</v>
      </c>
      <c r="C233" s="15" t="s">
        <v>18</v>
      </c>
      <c r="D233" s="15" t="s">
        <v>23</v>
      </c>
      <c r="E233" s="15" t="s">
        <v>14</v>
      </c>
      <c r="F233" s="15" t="s">
        <v>20</v>
      </c>
      <c r="G233" s="16">
        <v>45158</v>
      </c>
      <c r="H233" s="17">
        <v>154</v>
      </c>
      <c r="I233" s="17">
        <v>412.47</v>
      </c>
      <c r="J233" s="17">
        <v>66.02</v>
      </c>
    </row>
    <row r="234" spans="1:10" ht="15.75" thickBot="1">
      <c r="A234" s="15" t="s">
        <v>261</v>
      </c>
      <c r="B234" s="15" t="s">
        <v>17</v>
      </c>
      <c r="C234" s="15" t="s">
        <v>26</v>
      </c>
      <c r="D234" s="15" t="s">
        <v>23</v>
      </c>
      <c r="E234" s="15" t="s">
        <v>24</v>
      </c>
      <c r="F234" s="15" t="s">
        <v>28</v>
      </c>
      <c r="G234" s="16">
        <v>45159</v>
      </c>
      <c r="H234" s="17">
        <v>102</v>
      </c>
      <c r="I234" s="17">
        <v>263.63</v>
      </c>
      <c r="J234" s="17">
        <v>224.1</v>
      </c>
    </row>
    <row r="235" spans="1:10" ht="15.75" thickBot="1">
      <c r="A235" s="15" t="s">
        <v>262</v>
      </c>
      <c r="B235" s="15" t="s">
        <v>17</v>
      </c>
      <c r="C235" s="15" t="s">
        <v>31</v>
      </c>
      <c r="D235" s="15" t="s">
        <v>23</v>
      </c>
      <c r="E235" s="15" t="s">
        <v>14</v>
      </c>
      <c r="F235" s="15" t="s">
        <v>28</v>
      </c>
      <c r="G235" s="16">
        <v>45160</v>
      </c>
      <c r="H235" s="17">
        <v>318</v>
      </c>
      <c r="I235" s="17">
        <v>66</v>
      </c>
      <c r="J235" s="17">
        <v>325.08</v>
      </c>
    </row>
    <row r="236" spans="1:10" ht="15.75" thickBot="1">
      <c r="A236" s="15" t="s">
        <v>263</v>
      </c>
      <c r="B236" s="15" t="s">
        <v>17</v>
      </c>
      <c r="C236" s="15" t="s">
        <v>12</v>
      </c>
      <c r="D236" s="15" t="s">
        <v>23</v>
      </c>
      <c r="E236" s="15" t="s">
        <v>14</v>
      </c>
      <c r="F236" s="15" t="s">
        <v>28</v>
      </c>
      <c r="G236" s="16">
        <v>45161</v>
      </c>
      <c r="H236" s="17">
        <v>17</v>
      </c>
      <c r="I236" s="17">
        <v>430.41</v>
      </c>
      <c r="J236" s="17">
        <v>297.2</v>
      </c>
    </row>
    <row r="237" spans="1:10" ht="15.75" thickBot="1">
      <c r="A237" s="15" t="s">
        <v>264</v>
      </c>
      <c r="B237" s="15" t="s">
        <v>17</v>
      </c>
      <c r="C237" s="15" t="s">
        <v>50</v>
      </c>
      <c r="D237" s="15" t="s">
        <v>19</v>
      </c>
      <c r="E237" s="15" t="s">
        <v>24</v>
      </c>
      <c r="F237" s="15" t="s">
        <v>20</v>
      </c>
      <c r="G237" s="16">
        <v>45162</v>
      </c>
      <c r="H237" s="17">
        <v>88</v>
      </c>
      <c r="I237" s="17">
        <v>400.89</v>
      </c>
      <c r="J237" s="17">
        <v>352.82</v>
      </c>
    </row>
    <row r="238" spans="1:10" ht="15.75" thickBot="1">
      <c r="A238" s="15" t="s">
        <v>265</v>
      </c>
      <c r="B238" s="15" t="s">
        <v>48</v>
      </c>
      <c r="C238" s="15" t="s">
        <v>50</v>
      </c>
      <c r="D238" s="15" t="s">
        <v>13</v>
      </c>
      <c r="E238" s="15" t="s">
        <v>24</v>
      </c>
      <c r="F238" s="15" t="s">
        <v>20</v>
      </c>
      <c r="G238" s="16">
        <v>45163</v>
      </c>
      <c r="H238" s="17">
        <v>36</v>
      </c>
      <c r="I238" s="17">
        <v>96.37</v>
      </c>
      <c r="J238" s="17">
        <v>112.61</v>
      </c>
    </row>
    <row r="239" spans="1:10" ht="15.75" thickBot="1">
      <c r="A239" s="15" t="s">
        <v>266</v>
      </c>
      <c r="B239" s="15" t="s">
        <v>48</v>
      </c>
      <c r="C239" s="15" t="s">
        <v>12</v>
      </c>
      <c r="D239" s="15" t="s">
        <v>27</v>
      </c>
      <c r="E239" s="15" t="s">
        <v>24</v>
      </c>
      <c r="F239" s="15" t="s">
        <v>15</v>
      </c>
      <c r="G239" s="16">
        <v>45164</v>
      </c>
      <c r="H239" s="17">
        <v>183</v>
      </c>
      <c r="I239" s="17">
        <v>151.16</v>
      </c>
      <c r="J239" s="17">
        <v>79.19</v>
      </c>
    </row>
    <row r="240" spans="1:10" ht="15.75" thickBot="1">
      <c r="A240" s="15" t="s">
        <v>267</v>
      </c>
      <c r="B240" s="15" t="s">
        <v>11</v>
      </c>
      <c r="C240" s="15" t="s">
        <v>26</v>
      </c>
      <c r="D240" s="15" t="s">
        <v>27</v>
      </c>
      <c r="E240" s="15" t="s">
        <v>24</v>
      </c>
      <c r="F240" s="15" t="s">
        <v>15</v>
      </c>
      <c r="G240" s="16">
        <v>45165</v>
      </c>
      <c r="H240" s="17">
        <v>59</v>
      </c>
      <c r="I240" s="17">
        <v>397.74</v>
      </c>
      <c r="J240" s="17">
        <v>352.17</v>
      </c>
    </row>
    <row r="241" spans="1:10" ht="15.75" thickBot="1">
      <c r="A241" s="15" t="s">
        <v>268</v>
      </c>
      <c r="B241" s="15" t="s">
        <v>17</v>
      </c>
      <c r="C241" s="15" t="s">
        <v>50</v>
      </c>
      <c r="D241" s="15" t="s">
        <v>23</v>
      </c>
      <c r="E241" s="15" t="s">
        <v>14</v>
      </c>
      <c r="F241" s="15" t="s">
        <v>28</v>
      </c>
      <c r="G241" s="16">
        <v>45166</v>
      </c>
      <c r="H241" s="17">
        <v>208</v>
      </c>
      <c r="I241" s="17">
        <v>96.69</v>
      </c>
      <c r="J241" s="17">
        <v>263.70999999999998</v>
      </c>
    </row>
    <row r="242" spans="1:10" ht="15.75" thickBot="1">
      <c r="A242" s="15" t="s">
        <v>269</v>
      </c>
      <c r="B242" s="15" t="s">
        <v>48</v>
      </c>
      <c r="C242" s="15" t="s">
        <v>31</v>
      </c>
      <c r="D242" s="15" t="s">
        <v>23</v>
      </c>
      <c r="E242" s="15" t="s">
        <v>14</v>
      </c>
      <c r="F242" s="15" t="s">
        <v>20</v>
      </c>
      <c r="G242" s="16">
        <v>45167</v>
      </c>
      <c r="H242" s="17">
        <v>396</v>
      </c>
      <c r="I242" s="17">
        <v>459.29</v>
      </c>
      <c r="J242" s="17">
        <v>125.75</v>
      </c>
    </row>
    <row r="243" spans="1:10" ht="15.75" thickBot="1">
      <c r="A243" s="15" t="s">
        <v>270</v>
      </c>
      <c r="B243" s="15" t="s">
        <v>11</v>
      </c>
      <c r="C243" s="15" t="s">
        <v>26</v>
      </c>
      <c r="D243" s="15" t="s">
        <v>42</v>
      </c>
      <c r="E243" s="15" t="s">
        <v>24</v>
      </c>
      <c r="F243" s="15" t="s">
        <v>20</v>
      </c>
      <c r="G243" s="16">
        <v>45168</v>
      </c>
      <c r="H243" s="17">
        <v>358</v>
      </c>
      <c r="I243" s="17">
        <v>215.14</v>
      </c>
      <c r="J243" s="17">
        <v>297.45</v>
      </c>
    </row>
    <row r="244" spans="1:10" ht="15.75" thickBot="1">
      <c r="A244" s="15" t="s">
        <v>271</v>
      </c>
      <c r="B244" s="15" t="s">
        <v>17</v>
      </c>
      <c r="C244" s="15" t="s">
        <v>31</v>
      </c>
      <c r="D244" s="15" t="s">
        <v>13</v>
      </c>
      <c r="E244" s="15" t="s">
        <v>14</v>
      </c>
      <c r="F244" s="15" t="s">
        <v>20</v>
      </c>
      <c r="G244" s="16">
        <v>45169</v>
      </c>
      <c r="H244" s="17">
        <v>457</v>
      </c>
      <c r="I244" s="17">
        <v>48.08</v>
      </c>
      <c r="J244" s="17">
        <v>326.42</v>
      </c>
    </row>
    <row r="245" spans="1:10" ht="15.75" thickBot="1">
      <c r="A245" s="15" t="s">
        <v>272</v>
      </c>
      <c r="B245" s="15" t="s">
        <v>22</v>
      </c>
      <c r="C245" s="15" t="s">
        <v>18</v>
      </c>
      <c r="D245" s="15" t="s">
        <v>19</v>
      </c>
      <c r="E245" s="15" t="s">
        <v>14</v>
      </c>
      <c r="F245" s="15" t="s">
        <v>28</v>
      </c>
      <c r="G245" s="16">
        <v>45170</v>
      </c>
      <c r="H245" s="17">
        <v>437</v>
      </c>
      <c r="I245" s="17">
        <v>408.8</v>
      </c>
      <c r="J245" s="17">
        <v>246.76</v>
      </c>
    </row>
    <row r="246" spans="1:10" ht="15.75" thickBot="1">
      <c r="A246" s="15" t="s">
        <v>273</v>
      </c>
      <c r="B246" s="15" t="s">
        <v>11</v>
      </c>
      <c r="C246" s="15" t="s">
        <v>26</v>
      </c>
      <c r="D246" s="15" t="s">
        <v>27</v>
      </c>
      <c r="E246" s="15" t="s">
        <v>14</v>
      </c>
      <c r="F246" s="15" t="s">
        <v>15</v>
      </c>
      <c r="G246" s="16">
        <v>45171</v>
      </c>
      <c r="H246" s="17">
        <v>190</v>
      </c>
      <c r="I246" s="17">
        <v>189.89</v>
      </c>
      <c r="J246" s="17">
        <v>275.77999999999997</v>
      </c>
    </row>
    <row r="247" spans="1:10" ht="15.75" thickBot="1">
      <c r="A247" s="15" t="s">
        <v>274</v>
      </c>
      <c r="B247" s="15" t="s">
        <v>48</v>
      </c>
      <c r="C247" s="15" t="s">
        <v>50</v>
      </c>
      <c r="D247" s="15" t="s">
        <v>42</v>
      </c>
      <c r="E247" s="15" t="s">
        <v>24</v>
      </c>
      <c r="F247" s="15" t="s">
        <v>28</v>
      </c>
      <c r="G247" s="16">
        <v>45172</v>
      </c>
      <c r="H247" s="17">
        <v>33</v>
      </c>
      <c r="I247" s="17">
        <v>265.62</v>
      </c>
      <c r="J247" s="17">
        <v>151.35</v>
      </c>
    </row>
    <row r="248" spans="1:10" ht="15.75" thickBot="1">
      <c r="A248" s="15" t="s">
        <v>275</v>
      </c>
      <c r="B248" s="15" t="s">
        <v>22</v>
      </c>
      <c r="C248" s="15" t="s">
        <v>26</v>
      </c>
      <c r="D248" s="15" t="s">
        <v>42</v>
      </c>
      <c r="E248" s="15" t="s">
        <v>14</v>
      </c>
      <c r="F248" s="15" t="s">
        <v>15</v>
      </c>
      <c r="G248" s="16">
        <v>45173</v>
      </c>
      <c r="H248" s="17">
        <v>325</v>
      </c>
      <c r="I248" s="17">
        <v>60.59</v>
      </c>
      <c r="J248" s="17">
        <v>216.4</v>
      </c>
    </row>
    <row r="249" spans="1:10" ht="15.75" thickBot="1">
      <c r="A249" s="15" t="s">
        <v>276</v>
      </c>
      <c r="B249" s="15" t="s">
        <v>22</v>
      </c>
      <c r="C249" s="15" t="s">
        <v>26</v>
      </c>
      <c r="D249" s="15" t="s">
        <v>27</v>
      </c>
      <c r="E249" s="15" t="s">
        <v>24</v>
      </c>
      <c r="F249" s="15" t="s">
        <v>15</v>
      </c>
      <c r="G249" s="16">
        <v>45174</v>
      </c>
      <c r="H249" s="17">
        <v>387</v>
      </c>
      <c r="I249" s="17">
        <v>6.28</v>
      </c>
      <c r="J249" s="17">
        <v>210.62</v>
      </c>
    </row>
    <row r="250" spans="1:10" ht="15.75" thickBot="1">
      <c r="A250" s="15" t="s">
        <v>277</v>
      </c>
      <c r="B250" s="15" t="s">
        <v>22</v>
      </c>
      <c r="C250" s="15" t="s">
        <v>26</v>
      </c>
      <c r="D250" s="15" t="s">
        <v>19</v>
      </c>
      <c r="E250" s="15" t="s">
        <v>14</v>
      </c>
      <c r="F250" s="15" t="s">
        <v>28</v>
      </c>
      <c r="G250" s="16">
        <v>45175</v>
      </c>
      <c r="H250" s="17">
        <v>396</v>
      </c>
      <c r="I250" s="17">
        <v>320.8</v>
      </c>
      <c r="J250" s="17">
        <v>339.52</v>
      </c>
    </row>
    <row r="251" spans="1:10" ht="15.75" thickBot="1">
      <c r="A251" s="15" t="s">
        <v>278</v>
      </c>
      <c r="B251" s="15" t="s">
        <v>11</v>
      </c>
      <c r="C251" s="15" t="s">
        <v>26</v>
      </c>
      <c r="D251" s="15" t="s">
        <v>42</v>
      </c>
      <c r="E251" s="15" t="s">
        <v>14</v>
      </c>
      <c r="F251" s="15" t="s">
        <v>15</v>
      </c>
      <c r="G251" s="16">
        <v>45176</v>
      </c>
      <c r="H251" s="17">
        <v>413</v>
      </c>
      <c r="I251" s="17">
        <v>260.01</v>
      </c>
      <c r="J251" s="17">
        <v>336.31</v>
      </c>
    </row>
    <row r="252" spans="1:10" ht="15.75" thickBot="1">
      <c r="A252" s="15" t="s">
        <v>279</v>
      </c>
      <c r="B252" s="15" t="s">
        <v>48</v>
      </c>
      <c r="C252" s="15" t="s">
        <v>31</v>
      </c>
      <c r="D252" s="15" t="s">
        <v>42</v>
      </c>
      <c r="E252" s="15" t="s">
        <v>14</v>
      </c>
      <c r="F252" s="15" t="s">
        <v>15</v>
      </c>
      <c r="G252" s="16">
        <v>45177</v>
      </c>
      <c r="H252" s="15"/>
      <c r="I252" s="17">
        <v>298.8</v>
      </c>
      <c r="J252" s="17">
        <v>333.41</v>
      </c>
    </row>
    <row r="253" spans="1:10" ht="15.75" thickBot="1">
      <c r="A253" s="15" t="s">
        <v>280</v>
      </c>
      <c r="B253" s="15" t="s">
        <v>22</v>
      </c>
      <c r="C253" s="15" t="s">
        <v>18</v>
      </c>
      <c r="D253" s="15" t="s">
        <v>13</v>
      </c>
      <c r="E253" s="15" t="s">
        <v>24</v>
      </c>
      <c r="F253" s="15" t="s">
        <v>20</v>
      </c>
      <c r="G253" s="16">
        <v>45178</v>
      </c>
      <c r="H253" s="17">
        <v>24</v>
      </c>
      <c r="I253" s="17">
        <v>397.9</v>
      </c>
      <c r="J253" s="17">
        <v>6.39</v>
      </c>
    </row>
    <row r="254" spans="1:10" ht="15.75" thickBot="1">
      <c r="A254" s="15" t="s">
        <v>281</v>
      </c>
      <c r="B254" s="15" t="s">
        <v>17</v>
      </c>
      <c r="C254" s="15" t="s">
        <v>12</v>
      </c>
      <c r="D254" s="15"/>
      <c r="E254" s="15" t="s">
        <v>14</v>
      </c>
      <c r="F254" s="15" t="s">
        <v>15</v>
      </c>
      <c r="G254" s="16">
        <v>45179</v>
      </c>
      <c r="H254" s="17">
        <v>162</v>
      </c>
      <c r="I254" s="17">
        <v>325.07</v>
      </c>
      <c r="J254" s="17">
        <v>300.32</v>
      </c>
    </row>
    <row r="255" spans="1:10" ht="15.75" thickBot="1">
      <c r="A255" s="15" t="s">
        <v>282</v>
      </c>
      <c r="B255" s="15" t="s">
        <v>22</v>
      </c>
      <c r="C255" s="15" t="s">
        <v>26</v>
      </c>
      <c r="D255" s="15" t="s">
        <v>42</v>
      </c>
      <c r="E255" s="15" t="s">
        <v>24</v>
      </c>
      <c r="F255" s="15" t="s">
        <v>28</v>
      </c>
      <c r="G255" s="16">
        <v>45180</v>
      </c>
      <c r="H255" s="17">
        <v>231</v>
      </c>
      <c r="I255" s="17">
        <v>91.51</v>
      </c>
      <c r="J255" s="17">
        <v>303.95</v>
      </c>
    </row>
    <row r="256" spans="1:10" ht="15.75" thickBot="1">
      <c r="A256" s="15" t="s">
        <v>283</v>
      </c>
      <c r="B256" s="15" t="s">
        <v>22</v>
      </c>
      <c r="C256" s="15" t="s">
        <v>50</v>
      </c>
      <c r="D256" s="15" t="s">
        <v>19</v>
      </c>
      <c r="E256" s="15" t="s">
        <v>24</v>
      </c>
      <c r="F256" s="15" t="s">
        <v>28</v>
      </c>
      <c r="G256" s="16">
        <v>45181</v>
      </c>
      <c r="H256" s="17">
        <v>215</v>
      </c>
      <c r="I256" s="17">
        <v>183.58</v>
      </c>
      <c r="J256" s="17">
        <v>271.99</v>
      </c>
    </row>
    <row r="257" spans="1:10" ht="15.75" thickBot="1">
      <c r="A257" s="15" t="s">
        <v>284</v>
      </c>
      <c r="B257" s="15" t="s">
        <v>11</v>
      </c>
      <c r="C257" s="15" t="s">
        <v>26</v>
      </c>
      <c r="D257" s="15" t="s">
        <v>27</v>
      </c>
      <c r="E257" s="15" t="s">
        <v>24</v>
      </c>
      <c r="F257" s="15" t="s">
        <v>15</v>
      </c>
      <c r="G257" s="16">
        <v>45182</v>
      </c>
      <c r="H257" s="17">
        <v>464</v>
      </c>
      <c r="I257" s="17">
        <v>453.42</v>
      </c>
      <c r="J257" s="17">
        <v>302.99</v>
      </c>
    </row>
    <row r="258" spans="1:10" ht="15.75" thickBot="1">
      <c r="A258" s="15" t="s">
        <v>285</v>
      </c>
      <c r="B258" s="15" t="s">
        <v>11</v>
      </c>
      <c r="C258" s="15" t="s">
        <v>50</v>
      </c>
      <c r="D258" s="15" t="s">
        <v>23</v>
      </c>
      <c r="E258" s="15" t="s">
        <v>14</v>
      </c>
      <c r="F258" s="15" t="s">
        <v>20</v>
      </c>
      <c r="G258" s="16">
        <v>45183</v>
      </c>
      <c r="H258" s="17">
        <v>282</v>
      </c>
      <c r="I258" s="15"/>
      <c r="J258" s="17">
        <v>337.1</v>
      </c>
    </row>
    <row r="259" spans="1:10" ht="15.75" thickBot="1">
      <c r="A259" s="15" t="s">
        <v>286</v>
      </c>
      <c r="B259" s="15" t="s">
        <v>48</v>
      </c>
      <c r="C259" s="15" t="s">
        <v>31</v>
      </c>
      <c r="D259" s="15" t="s">
        <v>42</v>
      </c>
      <c r="E259" s="15" t="s">
        <v>14</v>
      </c>
      <c r="F259" s="15" t="s">
        <v>20</v>
      </c>
      <c r="G259" s="16">
        <v>45184</v>
      </c>
      <c r="H259" s="17">
        <v>391</v>
      </c>
      <c r="I259" s="17">
        <v>280.54000000000002</v>
      </c>
      <c r="J259" s="17">
        <v>189.19</v>
      </c>
    </row>
    <row r="260" spans="1:10" ht="15.75" thickBot="1">
      <c r="A260" s="15" t="s">
        <v>287</v>
      </c>
      <c r="B260" s="15" t="s">
        <v>17</v>
      </c>
      <c r="C260" s="15" t="s">
        <v>50</v>
      </c>
      <c r="D260" s="15" t="s">
        <v>13</v>
      </c>
      <c r="E260" s="15" t="s">
        <v>14</v>
      </c>
      <c r="F260" s="15" t="s">
        <v>15</v>
      </c>
      <c r="G260" s="16">
        <v>45185</v>
      </c>
      <c r="H260" s="17">
        <v>245</v>
      </c>
      <c r="I260" s="17">
        <v>131.54</v>
      </c>
      <c r="J260" s="17">
        <v>201.82</v>
      </c>
    </row>
    <row r="261" spans="1:10" ht="15.75" thickBot="1">
      <c r="A261" s="15" t="s">
        <v>288</v>
      </c>
      <c r="B261" s="15" t="s">
        <v>11</v>
      </c>
      <c r="C261" s="15" t="s">
        <v>12</v>
      </c>
      <c r="D261" s="15" t="s">
        <v>27</v>
      </c>
      <c r="E261" s="15" t="s">
        <v>14</v>
      </c>
      <c r="F261" s="15" t="s">
        <v>15</v>
      </c>
      <c r="G261" s="16">
        <v>45186</v>
      </c>
      <c r="H261" s="17">
        <v>349</v>
      </c>
      <c r="I261" s="17">
        <v>154.52000000000001</v>
      </c>
      <c r="J261" s="17">
        <v>51.64</v>
      </c>
    </row>
    <row r="262" spans="1:10" ht="15.75" thickBot="1">
      <c r="A262" s="15" t="s">
        <v>289</v>
      </c>
      <c r="B262" s="15" t="s">
        <v>22</v>
      </c>
      <c r="C262" s="15" t="s">
        <v>18</v>
      </c>
      <c r="D262" s="15" t="s">
        <v>19</v>
      </c>
      <c r="E262" s="15" t="s">
        <v>24</v>
      </c>
      <c r="F262" s="15" t="s">
        <v>28</v>
      </c>
      <c r="G262" s="16">
        <v>45187</v>
      </c>
      <c r="H262" s="17">
        <v>237</v>
      </c>
      <c r="I262" s="15"/>
      <c r="J262" s="17">
        <v>155.38</v>
      </c>
    </row>
    <row r="263" spans="1:10" ht="15.75" thickBot="1">
      <c r="A263" s="15" t="s">
        <v>290</v>
      </c>
      <c r="B263" s="15" t="s">
        <v>48</v>
      </c>
      <c r="C263" s="15" t="s">
        <v>50</v>
      </c>
      <c r="D263" s="15" t="s">
        <v>27</v>
      </c>
      <c r="E263" s="15" t="s">
        <v>24</v>
      </c>
      <c r="F263" s="15" t="s">
        <v>15</v>
      </c>
      <c r="G263" s="16">
        <v>45188</v>
      </c>
      <c r="H263" s="17">
        <v>18</v>
      </c>
      <c r="I263" s="17">
        <v>426.33</v>
      </c>
      <c r="J263" s="17">
        <v>258.06</v>
      </c>
    </row>
    <row r="264" spans="1:10" ht="15.75" thickBot="1">
      <c r="A264" s="15" t="s">
        <v>291</v>
      </c>
      <c r="B264" s="15" t="s">
        <v>22</v>
      </c>
      <c r="C264" s="15" t="s">
        <v>50</v>
      </c>
      <c r="D264" s="15" t="s">
        <v>42</v>
      </c>
      <c r="E264" s="15" t="s">
        <v>24</v>
      </c>
      <c r="F264" s="15" t="s">
        <v>20</v>
      </c>
      <c r="G264" s="16">
        <v>45189</v>
      </c>
      <c r="H264" s="17">
        <v>175</v>
      </c>
      <c r="I264" s="17">
        <v>337.36</v>
      </c>
      <c r="J264" s="17">
        <v>312.60000000000002</v>
      </c>
    </row>
    <row r="265" spans="1:10" ht="15.75" thickBot="1">
      <c r="A265" s="15" t="s">
        <v>292</v>
      </c>
      <c r="B265" s="15" t="s">
        <v>22</v>
      </c>
      <c r="C265" s="15" t="s">
        <v>18</v>
      </c>
      <c r="D265" s="15"/>
      <c r="E265" s="15" t="s">
        <v>14</v>
      </c>
      <c r="F265" s="15" t="s">
        <v>15</v>
      </c>
      <c r="G265" s="16">
        <v>45190</v>
      </c>
      <c r="H265" s="17">
        <v>441</v>
      </c>
      <c r="I265" s="17">
        <v>405.72</v>
      </c>
      <c r="J265" s="17">
        <v>88.45</v>
      </c>
    </row>
    <row r="266" spans="1:10" ht="15.75" thickBot="1">
      <c r="A266" s="15" t="s">
        <v>293</v>
      </c>
      <c r="B266" s="15" t="s">
        <v>11</v>
      </c>
      <c r="C266" s="15" t="s">
        <v>12</v>
      </c>
      <c r="D266" s="15" t="s">
        <v>23</v>
      </c>
      <c r="E266" s="15" t="s">
        <v>24</v>
      </c>
      <c r="F266" s="15" t="s">
        <v>28</v>
      </c>
      <c r="G266" s="16">
        <v>45191</v>
      </c>
      <c r="H266" s="17">
        <v>453</v>
      </c>
      <c r="I266" s="17">
        <v>384.49</v>
      </c>
      <c r="J266" s="17">
        <v>56.85</v>
      </c>
    </row>
    <row r="267" spans="1:10" ht="15.75" thickBot="1">
      <c r="A267" s="15" t="s">
        <v>294</v>
      </c>
      <c r="B267" s="15" t="s">
        <v>48</v>
      </c>
      <c r="C267" s="15" t="s">
        <v>26</v>
      </c>
      <c r="D267" s="15" t="s">
        <v>27</v>
      </c>
      <c r="E267" s="15" t="s">
        <v>14</v>
      </c>
      <c r="F267" s="15" t="s">
        <v>28</v>
      </c>
      <c r="G267" s="16">
        <v>45192</v>
      </c>
      <c r="H267" s="17">
        <v>328</v>
      </c>
      <c r="I267" s="17">
        <v>79.099999999999994</v>
      </c>
      <c r="J267" s="17">
        <v>265.89</v>
      </c>
    </row>
    <row r="268" spans="1:10" ht="15.75" thickBot="1">
      <c r="A268" s="15" t="s">
        <v>295</v>
      </c>
      <c r="B268" s="15" t="s">
        <v>17</v>
      </c>
      <c r="C268" s="15" t="s">
        <v>50</v>
      </c>
      <c r="D268" s="15" t="s">
        <v>42</v>
      </c>
      <c r="E268" s="15" t="s">
        <v>24</v>
      </c>
      <c r="F268" s="15" t="s">
        <v>28</v>
      </c>
      <c r="G268" s="16">
        <v>45193</v>
      </c>
      <c r="H268" s="17">
        <v>223</v>
      </c>
      <c r="I268" s="17">
        <v>214.85</v>
      </c>
      <c r="J268" s="17">
        <v>2.75</v>
      </c>
    </row>
    <row r="269" spans="1:10" ht="15.75" thickBot="1">
      <c r="A269" s="15" t="s">
        <v>296</v>
      </c>
      <c r="B269" s="15" t="s">
        <v>17</v>
      </c>
      <c r="C269" s="15" t="s">
        <v>18</v>
      </c>
      <c r="D269" s="15" t="s">
        <v>13</v>
      </c>
      <c r="E269" s="15" t="s">
        <v>14</v>
      </c>
      <c r="F269" s="15" t="s">
        <v>28</v>
      </c>
      <c r="G269" s="16">
        <v>45194</v>
      </c>
      <c r="H269" s="17">
        <v>126</v>
      </c>
      <c r="I269" s="17">
        <v>80.73</v>
      </c>
      <c r="J269" s="17">
        <v>72.989999999999995</v>
      </c>
    </row>
    <row r="270" spans="1:10" ht="15.75" thickBot="1">
      <c r="A270" s="15" t="s">
        <v>297</v>
      </c>
      <c r="B270" s="15" t="s">
        <v>11</v>
      </c>
      <c r="C270" s="15" t="s">
        <v>31</v>
      </c>
      <c r="D270" s="15" t="s">
        <v>19</v>
      </c>
      <c r="E270" s="15" t="s">
        <v>14</v>
      </c>
      <c r="F270" s="15" t="s">
        <v>28</v>
      </c>
      <c r="G270" s="16">
        <v>45195</v>
      </c>
      <c r="H270" s="17">
        <v>395</v>
      </c>
      <c r="I270" s="17">
        <v>121.44</v>
      </c>
      <c r="J270" s="17">
        <v>13.57</v>
      </c>
    </row>
    <row r="271" spans="1:10" ht="15.75" thickBot="1">
      <c r="A271" s="15" t="s">
        <v>298</v>
      </c>
      <c r="B271" s="15" t="s">
        <v>11</v>
      </c>
      <c r="C271" s="15" t="s">
        <v>18</v>
      </c>
      <c r="D271" s="15" t="s">
        <v>27</v>
      </c>
      <c r="E271" s="15" t="s">
        <v>24</v>
      </c>
      <c r="F271" s="15" t="s">
        <v>15</v>
      </c>
      <c r="G271" s="16">
        <v>45196</v>
      </c>
      <c r="H271" s="17">
        <v>353</v>
      </c>
      <c r="I271" s="17">
        <v>435.28</v>
      </c>
      <c r="J271" s="17">
        <v>68.42</v>
      </c>
    </row>
    <row r="272" spans="1:10" ht="15.75" thickBot="1">
      <c r="A272" s="15" t="s">
        <v>299</v>
      </c>
      <c r="B272" s="15" t="s">
        <v>48</v>
      </c>
      <c r="C272" s="15" t="s">
        <v>31</v>
      </c>
      <c r="D272" s="15" t="s">
        <v>27</v>
      </c>
      <c r="E272" s="15" t="s">
        <v>24</v>
      </c>
      <c r="F272" s="15" t="s">
        <v>15</v>
      </c>
      <c r="G272" s="16">
        <v>45197</v>
      </c>
      <c r="H272" s="17">
        <v>81</v>
      </c>
      <c r="I272" s="17">
        <v>239.08</v>
      </c>
      <c r="J272" s="17">
        <v>74.17</v>
      </c>
    </row>
    <row r="273" spans="1:10" ht="15.75" thickBot="1">
      <c r="A273" s="15" t="s">
        <v>300</v>
      </c>
      <c r="B273" s="15" t="s">
        <v>17</v>
      </c>
      <c r="C273" s="15" t="s">
        <v>12</v>
      </c>
      <c r="D273" s="15" t="s">
        <v>23</v>
      </c>
      <c r="E273" s="15" t="s">
        <v>24</v>
      </c>
      <c r="F273" s="15" t="s">
        <v>15</v>
      </c>
      <c r="G273" s="16">
        <v>45198</v>
      </c>
      <c r="H273" s="17">
        <v>404</v>
      </c>
      <c r="I273" s="17">
        <v>270</v>
      </c>
      <c r="J273" s="17">
        <v>156.29</v>
      </c>
    </row>
    <row r="274" spans="1:10" ht="15.75" thickBot="1">
      <c r="A274" s="15" t="s">
        <v>301</v>
      </c>
      <c r="B274" s="15" t="s">
        <v>17</v>
      </c>
      <c r="C274" s="15" t="s">
        <v>26</v>
      </c>
      <c r="D274" s="15" t="s">
        <v>23</v>
      </c>
      <c r="E274" s="15" t="s">
        <v>24</v>
      </c>
      <c r="F274" s="15" t="s">
        <v>15</v>
      </c>
      <c r="G274" s="16">
        <v>45199</v>
      </c>
      <c r="H274" s="17">
        <v>73</v>
      </c>
      <c r="I274" s="17">
        <v>93.33</v>
      </c>
      <c r="J274" s="17">
        <v>162.13</v>
      </c>
    </row>
    <row r="275" spans="1:10" ht="15.75" thickBot="1">
      <c r="A275" s="15" t="s">
        <v>302</v>
      </c>
      <c r="B275" s="15" t="s">
        <v>17</v>
      </c>
      <c r="C275" s="15" t="s">
        <v>18</v>
      </c>
      <c r="D275" s="15" t="s">
        <v>13</v>
      </c>
      <c r="E275" s="15" t="s">
        <v>14</v>
      </c>
      <c r="F275" s="15" t="s">
        <v>28</v>
      </c>
      <c r="G275" s="16">
        <v>45200</v>
      </c>
      <c r="H275" s="17">
        <v>214</v>
      </c>
      <c r="I275" s="17">
        <v>159.57</v>
      </c>
      <c r="J275" s="17">
        <v>349.96</v>
      </c>
    </row>
    <row r="276" spans="1:10" ht="15.75" thickBot="1">
      <c r="A276" s="15" t="s">
        <v>303</v>
      </c>
      <c r="B276" s="15" t="s">
        <v>22</v>
      </c>
      <c r="C276" s="15" t="s">
        <v>50</v>
      </c>
      <c r="D276" s="15" t="s">
        <v>13</v>
      </c>
      <c r="E276" s="15" t="s">
        <v>24</v>
      </c>
      <c r="F276" s="15" t="s">
        <v>20</v>
      </c>
      <c r="G276" s="16">
        <v>45201</v>
      </c>
      <c r="H276" s="17">
        <v>218</v>
      </c>
      <c r="I276" s="17">
        <v>118.97</v>
      </c>
      <c r="J276" s="17">
        <v>205.02</v>
      </c>
    </row>
    <row r="277" spans="1:10" ht="15.75" thickBot="1">
      <c r="A277" s="15" t="s">
        <v>304</v>
      </c>
      <c r="B277" s="15" t="s">
        <v>17</v>
      </c>
      <c r="C277" s="15" t="s">
        <v>12</v>
      </c>
      <c r="D277" s="15" t="s">
        <v>42</v>
      </c>
      <c r="E277" s="15" t="s">
        <v>24</v>
      </c>
      <c r="F277" s="15" t="s">
        <v>15</v>
      </c>
      <c r="G277" s="16">
        <v>45202</v>
      </c>
      <c r="H277" s="17">
        <v>81</v>
      </c>
      <c r="I277" s="17">
        <v>107.06</v>
      </c>
      <c r="J277" s="17">
        <v>289.92</v>
      </c>
    </row>
    <row r="278" spans="1:10" ht="15.75" thickBot="1">
      <c r="A278" s="15" t="s">
        <v>305</v>
      </c>
      <c r="B278" s="15" t="s">
        <v>22</v>
      </c>
      <c r="C278" s="15" t="s">
        <v>18</v>
      </c>
      <c r="D278" s="15" t="s">
        <v>42</v>
      </c>
      <c r="E278" s="15" t="s">
        <v>24</v>
      </c>
      <c r="F278" s="15" t="s">
        <v>20</v>
      </c>
      <c r="G278" s="16">
        <v>45203</v>
      </c>
      <c r="H278" s="17">
        <v>286</v>
      </c>
      <c r="I278" s="17">
        <v>320.79000000000002</v>
      </c>
      <c r="J278" s="17">
        <v>43.45</v>
      </c>
    </row>
    <row r="279" spans="1:10" ht="15.75" thickBot="1">
      <c r="A279" s="15" t="s">
        <v>306</v>
      </c>
      <c r="B279" s="15" t="s">
        <v>48</v>
      </c>
      <c r="C279" s="15" t="s">
        <v>50</v>
      </c>
      <c r="D279" s="15" t="s">
        <v>13</v>
      </c>
      <c r="E279" s="15" t="s">
        <v>14</v>
      </c>
      <c r="F279" s="15" t="s">
        <v>15</v>
      </c>
      <c r="G279" s="16">
        <v>45204</v>
      </c>
      <c r="H279" s="17">
        <v>283</v>
      </c>
      <c r="I279" s="17">
        <v>132.16</v>
      </c>
      <c r="J279" s="17">
        <v>91.72</v>
      </c>
    </row>
    <row r="280" spans="1:10" ht="15.75" thickBot="1">
      <c r="A280" s="15" t="s">
        <v>307</v>
      </c>
      <c r="B280" s="15" t="s">
        <v>22</v>
      </c>
      <c r="C280" s="15" t="s">
        <v>18</v>
      </c>
      <c r="D280" s="15" t="s">
        <v>13</v>
      </c>
      <c r="E280" s="15" t="s">
        <v>14</v>
      </c>
      <c r="F280" s="15" t="s">
        <v>15</v>
      </c>
      <c r="G280" s="16">
        <v>45205</v>
      </c>
      <c r="H280" s="17">
        <v>487</v>
      </c>
      <c r="I280" s="17">
        <v>317.85000000000002</v>
      </c>
      <c r="J280" s="17">
        <v>281.77</v>
      </c>
    </row>
    <row r="281" spans="1:10" ht="15.75" thickBot="1">
      <c r="A281" s="15" t="s">
        <v>308</v>
      </c>
      <c r="B281" s="15" t="s">
        <v>48</v>
      </c>
      <c r="C281" s="15" t="s">
        <v>31</v>
      </c>
      <c r="D281" s="15" t="s">
        <v>19</v>
      </c>
      <c r="E281" s="15" t="s">
        <v>24</v>
      </c>
      <c r="F281" s="15" t="s">
        <v>20</v>
      </c>
      <c r="G281" s="16">
        <v>45206</v>
      </c>
      <c r="H281" s="17">
        <v>329</v>
      </c>
      <c r="I281" s="17">
        <v>33.94</v>
      </c>
      <c r="J281" s="17">
        <v>23.02</v>
      </c>
    </row>
    <row r="282" spans="1:10" ht="15.75" thickBot="1">
      <c r="A282" s="15" t="s">
        <v>309</v>
      </c>
      <c r="B282" s="15" t="s">
        <v>17</v>
      </c>
      <c r="C282" s="15" t="s">
        <v>18</v>
      </c>
      <c r="D282" s="15" t="s">
        <v>23</v>
      </c>
      <c r="E282" s="15" t="s">
        <v>14</v>
      </c>
      <c r="F282" s="15" t="s">
        <v>28</v>
      </c>
      <c r="G282" s="16">
        <v>45207</v>
      </c>
      <c r="H282" s="17">
        <v>347</v>
      </c>
      <c r="I282" s="17">
        <v>75.180000000000007</v>
      </c>
      <c r="J282" s="17">
        <v>195.67</v>
      </c>
    </row>
    <row r="283" spans="1:10" ht="15.75" thickBot="1">
      <c r="A283" s="15" t="s">
        <v>310</v>
      </c>
      <c r="B283" s="15" t="s">
        <v>17</v>
      </c>
      <c r="C283" s="15" t="s">
        <v>18</v>
      </c>
      <c r="D283" s="15" t="s">
        <v>42</v>
      </c>
      <c r="E283" s="15" t="s">
        <v>24</v>
      </c>
      <c r="F283" s="15" t="s">
        <v>15</v>
      </c>
      <c r="G283" s="16">
        <v>45208</v>
      </c>
      <c r="H283" s="17">
        <v>375</v>
      </c>
      <c r="I283" s="17">
        <v>140.9</v>
      </c>
      <c r="J283" s="17">
        <v>240.55</v>
      </c>
    </row>
    <row r="284" spans="1:10" ht="15.75" thickBot="1">
      <c r="A284" s="15" t="s">
        <v>311</v>
      </c>
      <c r="B284" s="15" t="s">
        <v>48</v>
      </c>
      <c r="C284" s="15" t="s">
        <v>18</v>
      </c>
      <c r="D284" s="15" t="s">
        <v>23</v>
      </c>
      <c r="E284" s="15" t="s">
        <v>14</v>
      </c>
      <c r="F284" s="15" t="s">
        <v>15</v>
      </c>
      <c r="G284" s="16">
        <v>45209</v>
      </c>
      <c r="H284" s="17">
        <v>104</v>
      </c>
      <c r="I284" s="17">
        <v>300.54000000000002</v>
      </c>
      <c r="J284" s="17">
        <v>241.65</v>
      </c>
    </row>
    <row r="285" spans="1:10" ht="15.75" thickBot="1">
      <c r="A285" s="15" t="s">
        <v>312</v>
      </c>
      <c r="B285" s="15" t="s">
        <v>11</v>
      </c>
      <c r="C285" s="15" t="s">
        <v>12</v>
      </c>
      <c r="D285" s="15"/>
      <c r="E285" s="15" t="s">
        <v>14</v>
      </c>
      <c r="F285" s="15" t="s">
        <v>15</v>
      </c>
      <c r="G285" s="16">
        <v>45210</v>
      </c>
      <c r="H285" s="17">
        <v>175</v>
      </c>
      <c r="I285" s="17">
        <v>339.54</v>
      </c>
      <c r="J285" s="17">
        <v>11.13</v>
      </c>
    </row>
    <row r="286" spans="1:10" ht="15.75" thickBot="1">
      <c r="A286" s="15" t="s">
        <v>313</v>
      </c>
      <c r="B286" s="15" t="s">
        <v>48</v>
      </c>
      <c r="C286" s="15" t="s">
        <v>18</v>
      </c>
      <c r="D286" s="15" t="s">
        <v>13</v>
      </c>
      <c r="E286" s="15" t="s">
        <v>14</v>
      </c>
      <c r="F286" s="15" t="s">
        <v>20</v>
      </c>
      <c r="G286" s="16">
        <v>45211</v>
      </c>
      <c r="H286" s="17">
        <v>41</v>
      </c>
      <c r="I286" s="17">
        <v>224.14</v>
      </c>
      <c r="J286" s="17">
        <v>130.19999999999999</v>
      </c>
    </row>
    <row r="287" spans="1:10" ht="15.75" thickBot="1">
      <c r="A287" s="15" t="s">
        <v>314</v>
      </c>
      <c r="B287" s="15" t="s">
        <v>11</v>
      </c>
      <c r="C287" s="15" t="s">
        <v>50</v>
      </c>
      <c r="D287" s="15" t="s">
        <v>19</v>
      </c>
      <c r="E287" s="15" t="s">
        <v>14</v>
      </c>
      <c r="F287" s="15" t="s">
        <v>28</v>
      </c>
      <c r="G287" s="16">
        <v>45212</v>
      </c>
      <c r="H287" s="17">
        <v>20</v>
      </c>
      <c r="I287" s="17">
        <v>225.67</v>
      </c>
      <c r="J287" s="17">
        <v>255.32</v>
      </c>
    </row>
    <row r="288" spans="1:10" ht="15.75" thickBot="1">
      <c r="A288" s="15" t="s">
        <v>315</v>
      </c>
      <c r="B288" s="15" t="s">
        <v>22</v>
      </c>
      <c r="C288" s="15" t="s">
        <v>31</v>
      </c>
      <c r="D288" s="15" t="s">
        <v>27</v>
      </c>
      <c r="E288" s="15" t="s">
        <v>24</v>
      </c>
      <c r="F288" s="15" t="s">
        <v>20</v>
      </c>
      <c r="G288" s="16">
        <v>45213</v>
      </c>
      <c r="H288" s="17">
        <v>310</v>
      </c>
      <c r="I288" s="17">
        <v>363.64</v>
      </c>
      <c r="J288" s="17">
        <v>61.3</v>
      </c>
    </row>
    <row r="289" spans="1:10" ht="15.75" thickBot="1">
      <c r="A289" s="15" t="s">
        <v>316</v>
      </c>
      <c r="B289" s="15" t="s">
        <v>22</v>
      </c>
      <c r="C289" s="15" t="s">
        <v>31</v>
      </c>
      <c r="D289" s="15" t="s">
        <v>19</v>
      </c>
      <c r="E289" s="15" t="s">
        <v>24</v>
      </c>
      <c r="F289" s="15" t="s">
        <v>20</v>
      </c>
      <c r="G289" s="16">
        <v>45214</v>
      </c>
      <c r="H289" s="17">
        <v>226</v>
      </c>
      <c r="I289" s="15"/>
      <c r="J289" s="17">
        <v>278.77999999999997</v>
      </c>
    </row>
    <row r="290" spans="1:10" ht="15.75" thickBot="1">
      <c r="A290" s="15" t="s">
        <v>317</v>
      </c>
      <c r="B290" s="15" t="s">
        <v>22</v>
      </c>
      <c r="C290" s="15" t="s">
        <v>18</v>
      </c>
      <c r="D290" s="15" t="s">
        <v>19</v>
      </c>
      <c r="E290" s="15" t="s">
        <v>24</v>
      </c>
      <c r="F290" s="15" t="s">
        <v>28</v>
      </c>
      <c r="G290" s="16">
        <v>45215</v>
      </c>
      <c r="H290" s="15"/>
      <c r="I290" s="17">
        <v>173.84</v>
      </c>
      <c r="J290" s="17">
        <v>298.88</v>
      </c>
    </row>
    <row r="291" spans="1:10" ht="15.75" thickBot="1">
      <c r="A291" s="15" t="s">
        <v>318</v>
      </c>
      <c r="B291" s="15" t="s">
        <v>17</v>
      </c>
      <c r="C291" s="15" t="s">
        <v>12</v>
      </c>
      <c r="D291" s="15" t="s">
        <v>23</v>
      </c>
      <c r="E291" s="15" t="s">
        <v>14</v>
      </c>
      <c r="F291" s="15" t="s">
        <v>20</v>
      </c>
      <c r="G291" s="16">
        <v>45216</v>
      </c>
      <c r="H291" s="17">
        <v>111</v>
      </c>
      <c r="I291" s="17">
        <v>410.26</v>
      </c>
      <c r="J291" s="17">
        <v>392.82</v>
      </c>
    </row>
    <row r="292" spans="1:10" ht="15.75" thickBot="1">
      <c r="A292" s="15" t="s">
        <v>319</v>
      </c>
      <c r="B292" s="15" t="s">
        <v>22</v>
      </c>
      <c r="C292" s="15" t="s">
        <v>12</v>
      </c>
      <c r="D292" s="15" t="s">
        <v>19</v>
      </c>
      <c r="E292" s="15" t="s">
        <v>24</v>
      </c>
      <c r="F292" s="15" t="s">
        <v>28</v>
      </c>
      <c r="G292" s="16">
        <v>45217</v>
      </c>
      <c r="H292" s="17">
        <v>434</v>
      </c>
      <c r="I292" s="17">
        <v>303.58999999999997</v>
      </c>
      <c r="J292" s="17">
        <v>85.52</v>
      </c>
    </row>
    <row r="293" spans="1:10" ht="15.75" thickBot="1">
      <c r="A293" s="15" t="s">
        <v>320</v>
      </c>
      <c r="B293" s="15" t="s">
        <v>11</v>
      </c>
      <c r="C293" s="15" t="s">
        <v>50</v>
      </c>
      <c r="D293" s="15" t="s">
        <v>42</v>
      </c>
      <c r="E293" s="15" t="s">
        <v>24</v>
      </c>
      <c r="F293" s="15" t="s">
        <v>15</v>
      </c>
      <c r="G293" s="16">
        <v>45218</v>
      </c>
      <c r="H293" s="17">
        <v>401</v>
      </c>
      <c r="I293" s="17">
        <v>171.93</v>
      </c>
      <c r="J293" s="17">
        <v>330.4</v>
      </c>
    </row>
    <row r="294" spans="1:10" ht="15.75" thickBot="1">
      <c r="A294" s="15" t="s">
        <v>321</v>
      </c>
      <c r="B294" s="15" t="s">
        <v>22</v>
      </c>
      <c r="C294" s="15" t="s">
        <v>18</v>
      </c>
      <c r="D294" s="15" t="s">
        <v>23</v>
      </c>
      <c r="E294" s="15" t="s">
        <v>24</v>
      </c>
      <c r="F294" s="15" t="s">
        <v>28</v>
      </c>
      <c r="G294" s="16">
        <v>45219</v>
      </c>
      <c r="H294" s="17">
        <v>276</v>
      </c>
      <c r="I294" s="17">
        <v>453.23</v>
      </c>
      <c r="J294" s="17">
        <v>209.08</v>
      </c>
    </row>
    <row r="295" spans="1:10" ht="15.75" thickBot="1">
      <c r="A295" s="15" t="s">
        <v>322</v>
      </c>
      <c r="B295" s="15" t="s">
        <v>48</v>
      </c>
      <c r="C295" s="15" t="s">
        <v>31</v>
      </c>
      <c r="D295" s="15" t="s">
        <v>42</v>
      </c>
      <c r="E295" s="15" t="s">
        <v>14</v>
      </c>
      <c r="F295" s="15" t="s">
        <v>15</v>
      </c>
      <c r="G295" s="16">
        <v>45220</v>
      </c>
      <c r="H295" s="15"/>
      <c r="I295" s="17">
        <v>387.45</v>
      </c>
      <c r="J295" s="17">
        <v>150.63999999999999</v>
      </c>
    </row>
    <row r="296" spans="1:10" ht="15.75" thickBot="1">
      <c r="A296" s="15" t="s">
        <v>323</v>
      </c>
      <c r="B296" s="15" t="s">
        <v>48</v>
      </c>
      <c r="C296" s="15" t="s">
        <v>12</v>
      </c>
      <c r="D296" s="15" t="s">
        <v>27</v>
      </c>
      <c r="E296" s="15" t="s">
        <v>14</v>
      </c>
      <c r="F296" s="15" t="s">
        <v>20</v>
      </c>
      <c r="G296" s="16">
        <v>45221</v>
      </c>
      <c r="H296" s="17">
        <v>188</v>
      </c>
      <c r="I296" s="17">
        <v>136.12</v>
      </c>
      <c r="J296" s="17">
        <v>50.71</v>
      </c>
    </row>
    <row r="297" spans="1:10" ht="15.75" thickBot="1">
      <c r="A297" s="15" t="s">
        <v>324</v>
      </c>
      <c r="B297" s="15" t="s">
        <v>17</v>
      </c>
      <c r="C297" s="15" t="s">
        <v>18</v>
      </c>
      <c r="D297" s="15" t="s">
        <v>23</v>
      </c>
      <c r="E297" s="15" t="s">
        <v>14</v>
      </c>
      <c r="F297" s="15" t="s">
        <v>20</v>
      </c>
      <c r="G297" s="16">
        <v>45222</v>
      </c>
      <c r="H297" s="17">
        <v>97</v>
      </c>
      <c r="I297" s="17">
        <v>324.42</v>
      </c>
      <c r="J297" s="17">
        <v>294.73</v>
      </c>
    </row>
    <row r="298" spans="1:10" ht="15.75" thickBot="1">
      <c r="A298" s="15" t="s">
        <v>325</v>
      </c>
      <c r="B298" s="15" t="s">
        <v>48</v>
      </c>
      <c r="C298" s="15" t="s">
        <v>12</v>
      </c>
      <c r="D298" s="15" t="s">
        <v>27</v>
      </c>
      <c r="E298" s="15" t="s">
        <v>24</v>
      </c>
      <c r="F298" s="15" t="s">
        <v>15</v>
      </c>
      <c r="G298" s="16">
        <v>45223</v>
      </c>
      <c r="H298" s="17">
        <v>50</v>
      </c>
      <c r="I298" s="17">
        <v>299.89999999999998</v>
      </c>
      <c r="J298" s="17">
        <v>95.87</v>
      </c>
    </row>
    <row r="299" spans="1:10" ht="15.75" thickBot="1">
      <c r="A299" s="15" t="s">
        <v>326</v>
      </c>
      <c r="B299" s="15" t="s">
        <v>11</v>
      </c>
      <c r="C299" s="15" t="s">
        <v>12</v>
      </c>
      <c r="D299" s="15" t="s">
        <v>23</v>
      </c>
      <c r="E299" s="15" t="s">
        <v>24</v>
      </c>
      <c r="F299" s="15" t="s">
        <v>20</v>
      </c>
      <c r="G299" s="16">
        <v>45224</v>
      </c>
      <c r="H299" s="17">
        <v>410</v>
      </c>
      <c r="I299" s="17">
        <v>203.59</v>
      </c>
      <c r="J299" s="17">
        <v>149.83000000000001</v>
      </c>
    </row>
    <row r="300" spans="1:10" ht="15.75" thickBot="1">
      <c r="A300" s="15" t="s">
        <v>327</v>
      </c>
      <c r="B300" s="15" t="s">
        <v>22</v>
      </c>
      <c r="C300" s="15" t="s">
        <v>31</v>
      </c>
      <c r="D300" s="15" t="s">
        <v>13</v>
      </c>
      <c r="E300" s="15" t="s">
        <v>24</v>
      </c>
      <c r="F300" s="15" t="s">
        <v>28</v>
      </c>
      <c r="G300" s="16">
        <v>45225</v>
      </c>
      <c r="H300" s="17">
        <v>85</v>
      </c>
      <c r="I300" s="17">
        <v>186.64</v>
      </c>
      <c r="J300" s="17">
        <v>26.89</v>
      </c>
    </row>
    <row r="301" spans="1:10" ht="15.75" thickBot="1">
      <c r="A301" s="15" t="s">
        <v>328</v>
      </c>
      <c r="B301" s="15" t="s">
        <v>17</v>
      </c>
      <c r="C301" s="15" t="s">
        <v>26</v>
      </c>
      <c r="D301" s="15" t="s">
        <v>19</v>
      </c>
      <c r="E301" s="15" t="s">
        <v>14</v>
      </c>
      <c r="F301" s="15" t="s">
        <v>15</v>
      </c>
      <c r="G301" s="16">
        <v>45226</v>
      </c>
      <c r="H301" s="17">
        <v>386</v>
      </c>
      <c r="I301" s="17">
        <v>175.06</v>
      </c>
      <c r="J301" s="17">
        <v>320.94</v>
      </c>
    </row>
    <row r="302" spans="1:10" ht="15.75" thickBot="1">
      <c r="A302" s="15" t="s">
        <v>329</v>
      </c>
      <c r="B302" s="15" t="s">
        <v>22</v>
      </c>
      <c r="C302" s="15" t="s">
        <v>50</v>
      </c>
      <c r="D302" s="15" t="s">
        <v>13</v>
      </c>
      <c r="E302" s="15" t="s">
        <v>14</v>
      </c>
      <c r="F302" s="15" t="s">
        <v>20</v>
      </c>
      <c r="G302" s="16">
        <v>45227</v>
      </c>
      <c r="H302" s="17">
        <v>55</v>
      </c>
      <c r="I302" s="17">
        <v>310.49</v>
      </c>
      <c r="J302" s="17">
        <v>307.10000000000002</v>
      </c>
    </row>
    <row r="303" spans="1:10" ht="15.75" thickBot="1">
      <c r="A303" s="15" t="s">
        <v>330</v>
      </c>
      <c r="B303" s="15" t="s">
        <v>22</v>
      </c>
      <c r="C303" s="15" t="s">
        <v>50</v>
      </c>
      <c r="D303" s="15" t="s">
        <v>27</v>
      </c>
      <c r="E303" s="15" t="s">
        <v>24</v>
      </c>
      <c r="F303" s="15" t="s">
        <v>15</v>
      </c>
      <c r="G303" s="16">
        <v>45228</v>
      </c>
      <c r="H303" s="17">
        <v>169</v>
      </c>
      <c r="I303" s="17">
        <v>223.99</v>
      </c>
      <c r="J303" s="17">
        <v>293.98</v>
      </c>
    </row>
    <row r="304" spans="1:10" ht="15.75" thickBot="1">
      <c r="A304" s="15" t="s">
        <v>331</v>
      </c>
      <c r="B304" s="15" t="s">
        <v>11</v>
      </c>
      <c r="C304" s="15" t="s">
        <v>31</v>
      </c>
      <c r="D304" s="15" t="s">
        <v>19</v>
      </c>
      <c r="E304" s="15" t="s">
        <v>14</v>
      </c>
      <c r="F304" s="15" t="s">
        <v>28</v>
      </c>
      <c r="G304" s="16">
        <v>45229</v>
      </c>
      <c r="H304" s="17">
        <v>472</v>
      </c>
      <c r="I304" s="17">
        <v>416.77</v>
      </c>
      <c r="J304" s="17">
        <v>121.18</v>
      </c>
    </row>
    <row r="305" spans="1:10" ht="15.75" thickBot="1">
      <c r="A305" s="15" t="s">
        <v>332</v>
      </c>
      <c r="B305" s="15" t="s">
        <v>48</v>
      </c>
      <c r="C305" s="15" t="s">
        <v>12</v>
      </c>
      <c r="D305" s="15" t="s">
        <v>23</v>
      </c>
      <c r="E305" s="15" t="s">
        <v>14</v>
      </c>
      <c r="F305" s="15" t="s">
        <v>28</v>
      </c>
      <c r="G305" s="16">
        <v>45230</v>
      </c>
      <c r="H305" s="17">
        <v>89</v>
      </c>
      <c r="I305" s="17">
        <v>336.45</v>
      </c>
      <c r="J305" s="17">
        <v>71.05</v>
      </c>
    </row>
    <row r="306" spans="1:10" ht="15.75" thickBot="1">
      <c r="A306" s="15" t="s">
        <v>333</v>
      </c>
      <c r="B306" s="15" t="s">
        <v>48</v>
      </c>
      <c r="C306" s="15" t="s">
        <v>18</v>
      </c>
      <c r="D306" s="15" t="s">
        <v>19</v>
      </c>
      <c r="E306" s="15" t="s">
        <v>14</v>
      </c>
      <c r="F306" s="15" t="s">
        <v>20</v>
      </c>
      <c r="G306" s="16">
        <v>45231</v>
      </c>
      <c r="H306" s="17">
        <v>319</v>
      </c>
      <c r="I306" s="17">
        <v>39.619999999999997</v>
      </c>
      <c r="J306" s="17">
        <v>255.75</v>
      </c>
    </row>
    <row r="307" spans="1:10" ht="15.75" thickBot="1">
      <c r="A307" s="15" t="s">
        <v>334</v>
      </c>
      <c r="B307" s="15" t="s">
        <v>22</v>
      </c>
      <c r="C307" s="15" t="s">
        <v>12</v>
      </c>
      <c r="D307" s="15"/>
      <c r="E307" s="15" t="s">
        <v>14</v>
      </c>
      <c r="F307" s="15" t="s">
        <v>28</v>
      </c>
      <c r="G307" s="16">
        <v>45232</v>
      </c>
      <c r="H307" s="17">
        <v>95</v>
      </c>
      <c r="I307" s="17">
        <v>321.88</v>
      </c>
      <c r="J307" s="17">
        <v>199.47</v>
      </c>
    </row>
    <row r="308" spans="1:10" ht="15.75" thickBot="1">
      <c r="A308" s="15" t="s">
        <v>335</v>
      </c>
      <c r="B308" s="15" t="s">
        <v>17</v>
      </c>
      <c r="C308" s="15" t="s">
        <v>31</v>
      </c>
      <c r="D308" s="15"/>
      <c r="E308" s="15" t="s">
        <v>24</v>
      </c>
      <c r="F308" s="15" t="s">
        <v>15</v>
      </c>
      <c r="G308" s="16">
        <v>45233</v>
      </c>
      <c r="H308" s="17">
        <v>101</v>
      </c>
      <c r="I308" s="17">
        <v>139.22</v>
      </c>
      <c r="J308" s="17">
        <v>72.94</v>
      </c>
    </row>
    <row r="309" spans="1:10" ht="15.75" thickBot="1">
      <c r="A309" s="15" t="s">
        <v>336</v>
      </c>
      <c r="B309" s="15" t="s">
        <v>48</v>
      </c>
      <c r="C309" s="15" t="s">
        <v>50</v>
      </c>
      <c r="D309" s="15"/>
      <c r="E309" s="15" t="s">
        <v>14</v>
      </c>
      <c r="F309" s="15" t="s">
        <v>28</v>
      </c>
      <c r="G309" s="16">
        <v>45234</v>
      </c>
      <c r="H309" s="17">
        <v>157</v>
      </c>
      <c r="I309" s="15"/>
      <c r="J309" s="17">
        <v>274.99</v>
      </c>
    </row>
    <row r="310" spans="1:10" ht="15.75" thickBot="1">
      <c r="A310" s="15" t="s">
        <v>337</v>
      </c>
      <c r="B310" s="15" t="s">
        <v>17</v>
      </c>
      <c r="C310" s="15" t="s">
        <v>12</v>
      </c>
      <c r="D310" s="15" t="s">
        <v>19</v>
      </c>
      <c r="E310" s="15" t="s">
        <v>14</v>
      </c>
      <c r="F310" s="15" t="s">
        <v>15</v>
      </c>
      <c r="G310" s="16">
        <v>45235</v>
      </c>
      <c r="H310" s="17">
        <v>170</v>
      </c>
      <c r="I310" s="17">
        <v>341.67</v>
      </c>
      <c r="J310" s="17">
        <v>396.47</v>
      </c>
    </row>
    <row r="311" spans="1:10" ht="15.75" thickBot="1">
      <c r="A311" s="15" t="s">
        <v>338</v>
      </c>
      <c r="B311" s="15" t="s">
        <v>48</v>
      </c>
      <c r="C311" s="15" t="s">
        <v>50</v>
      </c>
      <c r="D311" s="15" t="s">
        <v>42</v>
      </c>
      <c r="E311" s="15" t="s">
        <v>14</v>
      </c>
      <c r="F311" s="15" t="s">
        <v>15</v>
      </c>
      <c r="G311" s="16">
        <v>45236</v>
      </c>
      <c r="H311" s="17">
        <v>211</v>
      </c>
      <c r="I311" s="17">
        <v>119.26</v>
      </c>
      <c r="J311" s="17">
        <v>299.39</v>
      </c>
    </row>
    <row r="312" spans="1:10" ht="15.75" thickBot="1">
      <c r="A312" s="15" t="s">
        <v>339</v>
      </c>
      <c r="B312" s="15" t="s">
        <v>17</v>
      </c>
      <c r="C312" s="15" t="s">
        <v>18</v>
      </c>
      <c r="D312" s="15" t="s">
        <v>27</v>
      </c>
      <c r="E312" s="15" t="s">
        <v>14</v>
      </c>
      <c r="F312" s="15" t="s">
        <v>28</v>
      </c>
      <c r="G312" s="16">
        <v>45237</v>
      </c>
      <c r="H312" s="17">
        <v>433</v>
      </c>
      <c r="I312" s="17">
        <v>231.15</v>
      </c>
      <c r="J312" s="17">
        <v>296.51</v>
      </c>
    </row>
    <row r="313" spans="1:10" ht="15.75" thickBot="1">
      <c r="A313" s="15" t="s">
        <v>340</v>
      </c>
      <c r="B313" s="15" t="s">
        <v>11</v>
      </c>
      <c r="C313" s="15" t="s">
        <v>50</v>
      </c>
      <c r="D313" s="15" t="s">
        <v>13</v>
      </c>
      <c r="E313" s="15" t="s">
        <v>24</v>
      </c>
      <c r="F313" s="15" t="s">
        <v>20</v>
      </c>
      <c r="G313" s="16">
        <v>45238</v>
      </c>
      <c r="H313" s="17">
        <v>425</v>
      </c>
      <c r="I313" s="17">
        <v>99.21</v>
      </c>
      <c r="J313" s="17">
        <v>380.22</v>
      </c>
    </row>
    <row r="314" spans="1:10" ht="15.75" thickBot="1">
      <c r="A314" s="15" t="s">
        <v>341</v>
      </c>
      <c r="B314" s="15" t="s">
        <v>17</v>
      </c>
      <c r="C314" s="15" t="s">
        <v>50</v>
      </c>
      <c r="D314" s="15" t="s">
        <v>23</v>
      </c>
      <c r="E314" s="15" t="s">
        <v>24</v>
      </c>
      <c r="F314" s="15" t="s">
        <v>28</v>
      </c>
      <c r="G314" s="16">
        <v>45239</v>
      </c>
      <c r="H314" s="17">
        <v>251</v>
      </c>
      <c r="I314" s="17">
        <v>30.91</v>
      </c>
      <c r="J314" s="17">
        <v>82.77</v>
      </c>
    </row>
    <row r="315" spans="1:10" ht="15.75" thickBot="1">
      <c r="A315" s="15" t="s">
        <v>342</v>
      </c>
      <c r="B315" s="15" t="s">
        <v>11</v>
      </c>
      <c r="C315" s="15" t="s">
        <v>26</v>
      </c>
      <c r="D315" s="15" t="s">
        <v>19</v>
      </c>
      <c r="E315" s="15" t="s">
        <v>14</v>
      </c>
      <c r="F315" s="15" t="s">
        <v>15</v>
      </c>
      <c r="G315" s="16">
        <v>45240</v>
      </c>
      <c r="H315" s="15"/>
      <c r="I315" s="17">
        <v>192.35</v>
      </c>
      <c r="J315" s="17">
        <v>227.09</v>
      </c>
    </row>
    <row r="316" spans="1:10" ht="15.75" thickBot="1">
      <c r="A316" s="15" t="s">
        <v>343</v>
      </c>
      <c r="B316" s="15" t="s">
        <v>11</v>
      </c>
      <c r="C316" s="15" t="s">
        <v>26</v>
      </c>
      <c r="D316" s="15" t="s">
        <v>13</v>
      </c>
      <c r="E316" s="15" t="s">
        <v>14</v>
      </c>
      <c r="F316" s="15" t="s">
        <v>15</v>
      </c>
      <c r="G316" s="16">
        <v>45241</v>
      </c>
      <c r="H316" s="17">
        <v>11</v>
      </c>
      <c r="I316" s="17">
        <v>184.66</v>
      </c>
      <c r="J316" s="17">
        <v>391.9</v>
      </c>
    </row>
    <row r="317" spans="1:10" ht="15.75" thickBot="1">
      <c r="A317" s="15" t="s">
        <v>344</v>
      </c>
      <c r="B317" s="15" t="s">
        <v>17</v>
      </c>
      <c r="C317" s="15" t="s">
        <v>26</v>
      </c>
      <c r="D317" s="15" t="s">
        <v>23</v>
      </c>
      <c r="E317" s="15" t="s">
        <v>14</v>
      </c>
      <c r="F317" s="15" t="s">
        <v>28</v>
      </c>
      <c r="G317" s="16">
        <v>45242</v>
      </c>
      <c r="H317" s="17">
        <v>234</v>
      </c>
      <c r="I317" s="17">
        <v>497.76</v>
      </c>
      <c r="J317" s="17">
        <v>67.790000000000006</v>
      </c>
    </row>
    <row r="318" spans="1:10" ht="15.75" thickBot="1">
      <c r="A318" s="15" t="s">
        <v>345</v>
      </c>
      <c r="B318" s="15" t="s">
        <v>11</v>
      </c>
      <c r="C318" s="15" t="s">
        <v>50</v>
      </c>
      <c r="D318" s="15" t="s">
        <v>23</v>
      </c>
      <c r="E318" s="15" t="s">
        <v>14</v>
      </c>
      <c r="F318" s="15" t="s">
        <v>20</v>
      </c>
      <c r="G318" s="16">
        <v>45243</v>
      </c>
      <c r="H318" s="15"/>
      <c r="I318" s="17">
        <v>225.94</v>
      </c>
      <c r="J318" s="17">
        <v>280.7</v>
      </c>
    </row>
    <row r="319" spans="1:10" ht="15.75" thickBot="1">
      <c r="A319" s="15" t="s">
        <v>346</v>
      </c>
      <c r="B319" s="15" t="s">
        <v>22</v>
      </c>
      <c r="C319" s="15" t="s">
        <v>31</v>
      </c>
      <c r="D319" s="15" t="s">
        <v>42</v>
      </c>
      <c r="E319" s="15" t="s">
        <v>14</v>
      </c>
      <c r="F319" s="15" t="s">
        <v>20</v>
      </c>
      <c r="G319" s="16">
        <v>45244</v>
      </c>
      <c r="H319" s="17">
        <v>242</v>
      </c>
      <c r="I319" s="17">
        <v>170.12</v>
      </c>
      <c r="J319" s="17">
        <v>235.15</v>
      </c>
    </row>
    <row r="320" spans="1:10" ht="15.75" thickBot="1">
      <c r="A320" s="15" t="s">
        <v>347</v>
      </c>
      <c r="B320" s="15" t="s">
        <v>11</v>
      </c>
      <c r="C320" s="15" t="s">
        <v>50</v>
      </c>
      <c r="D320" s="15" t="s">
        <v>27</v>
      </c>
      <c r="E320" s="15" t="s">
        <v>14</v>
      </c>
      <c r="F320" s="15" t="s">
        <v>15</v>
      </c>
      <c r="G320" s="16">
        <v>45245</v>
      </c>
      <c r="H320" s="17">
        <v>470</v>
      </c>
      <c r="I320" s="17">
        <v>292.33999999999997</v>
      </c>
      <c r="J320" s="17">
        <v>235.42</v>
      </c>
    </row>
    <row r="321" spans="1:10" ht="15.75" thickBot="1">
      <c r="A321" s="15" t="s">
        <v>348</v>
      </c>
      <c r="B321" s="15" t="s">
        <v>48</v>
      </c>
      <c r="C321" s="15" t="s">
        <v>31</v>
      </c>
      <c r="D321" s="15" t="s">
        <v>27</v>
      </c>
      <c r="E321" s="15" t="s">
        <v>24</v>
      </c>
      <c r="F321" s="15" t="s">
        <v>15</v>
      </c>
      <c r="G321" s="16">
        <v>45246</v>
      </c>
      <c r="H321" s="17">
        <v>423</v>
      </c>
      <c r="I321" s="17">
        <v>48.94</v>
      </c>
      <c r="J321" s="17">
        <v>279.67</v>
      </c>
    </row>
    <row r="322" spans="1:10" ht="15.75" thickBot="1">
      <c r="A322" s="15" t="s">
        <v>349</v>
      </c>
      <c r="B322" s="15" t="s">
        <v>17</v>
      </c>
      <c r="C322" s="15" t="s">
        <v>31</v>
      </c>
      <c r="D322" s="15" t="s">
        <v>13</v>
      </c>
      <c r="E322" s="15" t="s">
        <v>14</v>
      </c>
      <c r="F322" s="15" t="s">
        <v>20</v>
      </c>
      <c r="G322" s="16">
        <v>45247</v>
      </c>
      <c r="H322" s="17">
        <v>426</v>
      </c>
      <c r="I322" s="17">
        <v>481.02</v>
      </c>
      <c r="J322" s="17">
        <v>371.99</v>
      </c>
    </row>
    <row r="323" spans="1:10" ht="15.75" thickBot="1">
      <c r="A323" s="15" t="s">
        <v>350</v>
      </c>
      <c r="B323" s="15" t="s">
        <v>22</v>
      </c>
      <c r="C323" s="15" t="s">
        <v>26</v>
      </c>
      <c r="D323" s="15" t="s">
        <v>27</v>
      </c>
      <c r="E323" s="15" t="s">
        <v>24</v>
      </c>
      <c r="F323" s="15" t="s">
        <v>28</v>
      </c>
      <c r="G323" s="16">
        <v>45248</v>
      </c>
      <c r="H323" s="17">
        <v>86</v>
      </c>
      <c r="I323" s="17">
        <v>319.31</v>
      </c>
      <c r="J323" s="17">
        <v>313.47000000000003</v>
      </c>
    </row>
    <row r="324" spans="1:10" ht="15.75" thickBot="1">
      <c r="A324" s="15" t="s">
        <v>351</v>
      </c>
      <c r="B324" s="15" t="s">
        <v>17</v>
      </c>
      <c r="C324" s="15" t="s">
        <v>12</v>
      </c>
      <c r="D324" s="15" t="s">
        <v>19</v>
      </c>
      <c r="E324" s="15" t="s">
        <v>24</v>
      </c>
      <c r="F324" s="15" t="s">
        <v>15</v>
      </c>
      <c r="G324" s="16">
        <v>45249</v>
      </c>
      <c r="H324" s="17">
        <v>125</v>
      </c>
      <c r="I324" s="17">
        <v>378.64</v>
      </c>
      <c r="J324" s="17">
        <v>24.34</v>
      </c>
    </row>
    <row r="325" spans="1:10" ht="15.75" thickBot="1">
      <c r="A325" s="15" t="s">
        <v>352</v>
      </c>
      <c r="B325" s="15" t="s">
        <v>48</v>
      </c>
      <c r="C325" s="15" t="s">
        <v>18</v>
      </c>
      <c r="D325" s="15"/>
      <c r="E325" s="15" t="s">
        <v>14</v>
      </c>
      <c r="F325" s="15" t="s">
        <v>15</v>
      </c>
      <c r="G325" s="16">
        <v>45250</v>
      </c>
      <c r="H325" s="17">
        <v>163</v>
      </c>
      <c r="I325" s="17">
        <v>89.39</v>
      </c>
      <c r="J325" s="17">
        <v>341.39</v>
      </c>
    </row>
    <row r="326" spans="1:10" ht="15.75" thickBot="1">
      <c r="A326" s="15" t="s">
        <v>353</v>
      </c>
      <c r="B326" s="15" t="s">
        <v>48</v>
      </c>
      <c r="C326" s="15" t="s">
        <v>26</v>
      </c>
      <c r="D326" s="15" t="s">
        <v>13</v>
      </c>
      <c r="E326" s="15" t="s">
        <v>24</v>
      </c>
      <c r="F326" s="15" t="s">
        <v>20</v>
      </c>
      <c r="G326" s="16">
        <v>45251</v>
      </c>
      <c r="H326" s="17">
        <v>415</v>
      </c>
      <c r="I326" s="17">
        <v>207.69</v>
      </c>
      <c r="J326" s="17">
        <v>91.77</v>
      </c>
    </row>
    <row r="327" spans="1:10" ht="15.75" thickBot="1">
      <c r="A327" s="15" t="s">
        <v>354</v>
      </c>
      <c r="B327" s="15" t="s">
        <v>48</v>
      </c>
      <c r="C327" s="15" t="s">
        <v>26</v>
      </c>
      <c r="D327" s="15" t="s">
        <v>27</v>
      </c>
      <c r="E327" s="15" t="s">
        <v>24</v>
      </c>
      <c r="F327" s="15" t="s">
        <v>28</v>
      </c>
      <c r="G327" s="16">
        <v>45252</v>
      </c>
      <c r="H327" s="17">
        <v>112</v>
      </c>
      <c r="I327" s="17">
        <v>214.23</v>
      </c>
      <c r="J327" s="17">
        <v>152.01</v>
      </c>
    </row>
    <row r="328" spans="1:10" ht="15.75" thickBot="1">
      <c r="A328" s="15" t="s">
        <v>355</v>
      </c>
      <c r="B328" s="15" t="s">
        <v>11</v>
      </c>
      <c r="C328" s="15" t="s">
        <v>12</v>
      </c>
      <c r="D328" s="15" t="s">
        <v>19</v>
      </c>
      <c r="E328" s="15" t="s">
        <v>24</v>
      </c>
      <c r="F328" s="15" t="s">
        <v>20</v>
      </c>
      <c r="G328" s="16">
        <v>45253</v>
      </c>
      <c r="H328" s="17">
        <v>203</v>
      </c>
      <c r="I328" s="17">
        <v>411.79</v>
      </c>
      <c r="J328" s="17">
        <v>185.77</v>
      </c>
    </row>
    <row r="329" spans="1:10" ht="15.75" thickBot="1">
      <c r="A329" s="15" t="s">
        <v>356</v>
      </c>
      <c r="B329" s="15" t="s">
        <v>11</v>
      </c>
      <c r="C329" s="15" t="s">
        <v>18</v>
      </c>
      <c r="D329" s="15" t="s">
        <v>42</v>
      </c>
      <c r="E329" s="15" t="s">
        <v>24</v>
      </c>
      <c r="F329" s="15" t="s">
        <v>28</v>
      </c>
      <c r="G329" s="16">
        <v>45254</v>
      </c>
      <c r="H329" s="15"/>
      <c r="I329" s="17">
        <v>5.61</v>
      </c>
      <c r="J329" s="17">
        <v>193.4</v>
      </c>
    </row>
    <row r="330" spans="1:10" ht="15.75" thickBot="1">
      <c r="A330" s="15" t="s">
        <v>357</v>
      </c>
      <c r="B330" s="15" t="s">
        <v>17</v>
      </c>
      <c r="C330" s="15" t="s">
        <v>50</v>
      </c>
      <c r="D330" s="15" t="s">
        <v>13</v>
      </c>
      <c r="E330" s="15" t="s">
        <v>24</v>
      </c>
      <c r="F330" s="15" t="s">
        <v>28</v>
      </c>
      <c r="G330" s="16">
        <v>45255</v>
      </c>
      <c r="H330" s="17">
        <v>368</v>
      </c>
      <c r="I330" s="17">
        <v>153.91999999999999</v>
      </c>
      <c r="J330" s="17">
        <v>175.2</v>
      </c>
    </row>
    <row r="331" spans="1:10" ht="15.75" thickBot="1">
      <c r="A331" s="15" t="s">
        <v>358</v>
      </c>
      <c r="B331" s="15" t="s">
        <v>17</v>
      </c>
      <c r="C331" s="15" t="s">
        <v>50</v>
      </c>
      <c r="D331" s="15" t="s">
        <v>42</v>
      </c>
      <c r="E331" s="15" t="s">
        <v>24</v>
      </c>
      <c r="F331" s="15" t="s">
        <v>28</v>
      </c>
      <c r="G331" s="16">
        <v>45256</v>
      </c>
      <c r="H331" s="17">
        <v>99</v>
      </c>
      <c r="I331" s="17">
        <v>490.71</v>
      </c>
      <c r="J331" s="17">
        <v>375.07</v>
      </c>
    </row>
    <row r="332" spans="1:10" ht="15.75" thickBot="1">
      <c r="A332" s="15" t="s">
        <v>359</v>
      </c>
      <c r="B332" s="15" t="s">
        <v>22</v>
      </c>
      <c r="C332" s="15" t="s">
        <v>26</v>
      </c>
      <c r="D332" s="15" t="s">
        <v>42</v>
      </c>
      <c r="E332" s="15" t="s">
        <v>14</v>
      </c>
      <c r="F332" s="15" t="s">
        <v>15</v>
      </c>
      <c r="G332" s="16">
        <v>45257</v>
      </c>
      <c r="H332" s="17">
        <v>183</v>
      </c>
      <c r="I332" s="17">
        <v>240.07</v>
      </c>
      <c r="J332" s="17">
        <v>283</v>
      </c>
    </row>
    <row r="333" spans="1:10" ht="15.75" thickBot="1">
      <c r="A333" s="15" t="s">
        <v>360</v>
      </c>
      <c r="B333" s="15"/>
      <c r="C333" s="15" t="s">
        <v>18</v>
      </c>
      <c r="D333" s="15" t="s">
        <v>42</v>
      </c>
      <c r="E333" s="15" t="s">
        <v>24</v>
      </c>
      <c r="F333" s="15" t="s">
        <v>20</v>
      </c>
      <c r="G333" s="16">
        <v>45258</v>
      </c>
      <c r="H333" s="17">
        <v>131</v>
      </c>
      <c r="I333" s="17">
        <v>194.35</v>
      </c>
      <c r="J333" s="17">
        <v>253.21</v>
      </c>
    </row>
    <row r="334" spans="1:10" ht="15.75" thickBot="1">
      <c r="A334" s="15" t="s">
        <v>361</v>
      </c>
      <c r="B334" s="15" t="s">
        <v>17</v>
      </c>
      <c r="C334" s="15" t="s">
        <v>26</v>
      </c>
      <c r="D334" s="15" t="s">
        <v>23</v>
      </c>
      <c r="E334" s="15" t="s">
        <v>24</v>
      </c>
      <c r="F334" s="15" t="s">
        <v>20</v>
      </c>
      <c r="G334" s="16">
        <v>45259</v>
      </c>
      <c r="H334" s="17">
        <v>152</v>
      </c>
      <c r="I334" s="17">
        <v>64.319999999999993</v>
      </c>
      <c r="J334" s="17">
        <v>21.84</v>
      </c>
    </row>
    <row r="335" spans="1:10" ht="15.75" thickBot="1">
      <c r="A335" s="15" t="s">
        <v>362</v>
      </c>
      <c r="B335" s="15" t="s">
        <v>11</v>
      </c>
      <c r="C335" s="15" t="s">
        <v>31</v>
      </c>
      <c r="D335" s="15" t="s">
        <v>23</v>
      </c>
      <c r="E335" s="15" t="s">
        <v>24</v>
      </c>
      <c r="F335" s="15" t="s">
        <v>28</v>
      </c>
      <c r="G335" s="16">
        <v>45260</v>
      </c>
      <c r="H335" s="17">
        <v>491</v>
      </c>
      <c r="I335" s="17">
        <v>487.21</v>
      </c>
      <c r="J335" s="17">
        <v>361.76</v>
      </c>
    </row>
    <row r="336" spans="1:10" ht="15.75" thickBot="1">
      <c r="A336" s="15" t="s">
        <v>363</v>
      </c>
      <c r="B336" s="15" t="s">
        <v>48</v>
      </c>
      <c r="C336" s="15" t="s">
        <v>26</v>
      </c>
      <c r="D336" s="15" t="s">
        <v>42</v>
      </c>
      <c r="E336" s="15" t="s">
        <v>14</v>
      </c>
      <c r="F336" s="15" t="s">
        <v>15</v>
      </c>
      <c r="G336" s="16">
        <v>45261</v>
      </c>
      <c r="H336" s="17">
        <v>115</v>
      </c>
      <c r="I336" s="17">
        <v>14.91</v>
      </c>
      <c r="J336" s="17">
        <v>363.94</v>
      </c>
    </row>
    <row r="337" spans="1:10" ht="15.75" thickBot="1">
      <c r="A337" s="15" t="s">
        <v>364</v>
      </c>
      <c r="B337" s="15" t="s">
        <v>17</v>
      </c>
      <c r="C337" s="15" t="s">
        <v>26</v>
      </c>
      <c r="D337" s="15" t="s">
        <v>13</v>
      </c>
      <c r="E337" s="15" t="s">
        <v>24</v>
      </c>
      <c r="F337" s="15" t="s">
        <v>15</v>
      </c>
      <c r="G337" s="16">
        <v>45262</v>
      </c>
      <c r="H337" s="17">
        <v>384</v>
      </c>
      <c r="I337" s="17">
        <v>369.9</v>
      </c>
      <c r="J337" s="17">
        <v>312.52</v>
      </c>
    </row>
    <row r="338" spans="1:10" ht="15.75" thickBot="1">
      <c r="A338" s="15" t="s">
        <v>365</v>
      </c>
      <c r="B338" s="15" t="s">
        <v>22</v>
      </c>
      <c r="C338" s="15" t="s">
        <v>50</v>
      </c>
      <c r="D338" s="15" t="s">
        <v>19</v>
      </c>
      <c r="E338" s="15" t="s">
        <v>14</v>
      </c>
      <c r="F338" s="15" t="s">
        <v>20</v>
      </c>
      <c r="G338" s="16">
        <v>45263</v>
      </c>
      <c r="H338" s="17">
        <v>437</v>
      </c>
      <c r="I338" s="17">
        <v>385.46</v>
      </c>
      <c r="J338" s="17">
        <v>4.8</v>
      </c>
    </row>
    <row r="339" spans="1:10" ht="15.75" thickBot="1">
      <c r="A339" s="15" t="s">
        <v>366</v>
      </c>
      <c r="B339" s="15" t="s">
        <v>11</v>
      </c>
      <c r="C339" s="15" t="s">
        <v>50</v>
      </c>
      <c r="D339" s="15" t="s">
        <v>19</v>
      </c>
      <c r="E339" s="15" t="s">
        <v>24</v>
      </c>
      <c r="F339" s="15" t="s">
        <v>15</v>
      </c>
      <c r="G339" s="16">
        <v>45264</v>
      </c>
      <c r="H339" s="17">
        <v>314</v>
      </c>
      <c r="I339" s="17">
        <v>125.61</v>
      </c>
      <c r="J339" s="17">
        <v>24.8</v>
      </c>
    </row>
    <row r="340" spans="1:10" ht="15.75" thickBot="1">
      <c r="A340" s="15" t="s">
        <v>367</v>
      </c>
      <c r="B340" s="15" t="s">
        <v>17</v>
      </c>
      <c r="C340" s="15" t="s">
        <v>50</v>
      </c>
      <c r="D340" s="15" t="s">
        <v>27</v>
      </c>
      <c r="E340" s="15" t="s">
        <v>14</v>
      </c>
      <c r="F340" s="15" t="s">
        <v>15</v>
      </c>
      <c r="G340" s="16">
        <v>45265</v>
      </c>
      <c r="H340" s="17">
        <v>369</v>
      </c>
      <c r="I340" s="17">
        <v>337.42</v>
      </c>
      <c r="J340" s="17">
        <v>91.64</v>
      </c>
    </row>
    <row r="341" spans="1:10" ht="15.75" thickBot="1">
      <c r="A341" s="15" t="s">
        <v>368</v>
      </c>
      <c r="B341" s="15" t="s">
        <v>17</v>
      </c>
      <c r="C341" s="15" t="s">
        <v>31</v>
      </c>
      <c r="D341" s="15" t="s">
        <v>13</v>
      </c>
      <c r="E341" s="15" t="s">
        <v>14</v>
      </c>
      <c r="F341" s="15" t="s">
        <v>28</v>
      </c>
      <c r="G341" s="16">
        <v>45266</v>
      </c>
      <c r="H341" s="17">
        <v>468</v>
      </c>
      <c r="I341" s="17">
        <v>51</v>
      </c>
      <c r="J341" s="17">
        <v>54.28</v>
      </c>
    </row>
    <row r="342" spans="1:10" ht="15.75" thickBot="1">
      <c r="A342" s="15" t="s">
        <v>369</v>
      </c>
      <c r="B342" s="15" t="s">
        <v>11</v>
      </c>
      <c r="C342" s="15" t="s">
        <v>50</v>
      </c>
      <c r="D342" s="15" t="s">
        <v>23</v>
      </c>
      <c r="E342" s="15" t="s">
        <v>24</v>
      </c>
      <c r="F342" s="15" t="s">
        <v>15</v>
      </c>
      <c r="G342" s="16">
        <v>45267</v>
      </c>
      <c r="H342" s="17">
        <v>326</v>
      </c>
      <c r="I342" s="17">
        <v>132.24</v>
      </c>
      <c r="J342" s="17">
        <v>160.74</v>
      </c>
    </row>
    <row r="343" spans="1:10" ht="15.75" thickBot="1">
      <c r="A343" s="15" t="s">
        <v>370</v>
      </c>
      <c r="B343" s="15" t="s">
        <v>17</v>
      </c>
      <c r="C343" s="15" t="s">
        <v>18</v>
      </c>
      <c r="D343" s="15" t="s">
        <v>42</v>
      </c>
      <c r="E343" s="15" t="s">
        <v>24</v>
      </c>
      <c r="F343" s="15" t="s">
        <v>28</v>
      </c>
      <c r="G343" s="16">
        <v>45268</v>
      </c>
      <c r="H343" s="17">
        <v>460</v>
      </c>
      <c r="I343" s="17">
        <v>395.01</v>
      </c>
      <c r="J343" s="17">
        <v>369.2</v>
      </c>
    </row>
    <row r="344" spans="1:10" ht="15.75" thickBot="1">
      <c r="A344" s="15" t="s">
        <v>371</v>
      </c>
      <c r="B344" s="15" t="s">
        <v>11</v>
      </c>
      <c r="C344" s="15" t="s">
        <v>12</v>
      </c>
      <c r="D344" s="15" t="s">
        <v>27</v>
      </c>
      <c r="E344" s="15" t="s">
        <v>14</v>
      </c>
      <c r="F344" s="15" t="s">
        <v>20</v>
      </c>
      <c r="G344" s="16">
        <v>45269</v>
      </c>
      <c r="H344" s="17">
        <v>132</v>
      </c>
      <c r="I344" s="17">
        <v>433.02</v>
      </c>
      <c r="J344" s="17">
        <v>189.88</v>
      </c>
    </row>
    <row r="345" spans="1:10" ht="15.75" thickBot="1">
      <c r="A345" s="15" t="s">
        <v>372</v>
      </c>
      <c r="B345" s="15" t="s">
        <v>48</v>
      </c>
      <c r="C345" s="15" t="s">
        <v>18</v>
      </c>
      <c r="D345" s="15" t="s">
        <v>19</v>
      </c>
      <c r="E345" s="15" t="s">
        <v>24</v>
      </c>
      <c r="F345" s="15" t="s">
        <v>15</v>
      </c>
      <c r="G345" s="16">
        <v>45270</v>
      </c>
      <c r="H345" s="17">
        <v>399</v>
      </c>
      <c r="I345" s="17">
        <v>306.2</v>
      </c>
      <c r="J345" s="17">
        <v>7.33</v>
      </c>
    </row>
    <row r="346" spans="1:10" ht="15.75" thickBot="1">
      <c r="A346" s="15" t="s">
        <v>373</v>
      </c>
      <c r="B346" s="15" t="s">
        <v>11</v>
      </c>
      <c r="C346" s="15" t="s">
        <v>18</v>
      </c>
      <c r="D346" s="15" t="s">
        <v>23</v>
      </c>
      <c r="E346" s="15" t="s">
        <v>14</v>
      </c>
      <c r="F346" s="15" t="s">
        <v>20</v>
      </c>
      <c r="G346" s="16">
        <v>45271</v>
      </c>
      <c r="H346" s="17">
        <v>18</v>
      </c>
      <c r="I346" s="17">
        <v>255.89</v>
      </c>
      <c r="J346" s="17">
        <v>114.53</v>
      </c>
    </row>
    <row r="347" spans="1:10" ht="15.75" thickBot="1">
      <c r="A347" s="15" t="s">
        <v>374</v>
      </c>
      <c r="B347" s="15" t="s">
        <v>11</v>
      </c>
      <c r="C347" s="15" t="s">
        <v>50</v>
      </c>
      <c r="D347" s="15" t="s">
        <v>23</v>
      </c>
      <c r="E347" s="15" t="s">
        <v>14</v>
      </c>
      <c r="F347" s="15" t="s">
        <v>20</v>
      </c>
      <c r="G347" s="16">
        <v>45272</v>
      </c>
      <c r="H347" s="17">
        <v>271</v>
      </c>
      <c r="I347" s="17">
        <v>83.86</v>
      </c>
      <c r="J347" s="17">
        <v>19.75</v>
      </c>
    </row>
    <row r="348" spans="1:10" ht="15.75" thickBot="1">
      <c r="A348" s="15" t="s">
        <v>375</v>
      </c>
      <c r="B348" s="15"/>
      <c r="C348" s="15" t="s">
        <v>12</v>
      </c>
      <c r="D348" s="15" t="s">
        <v>42</v>
      </c>
      <c r="E348" s="15" t="s">
        <v>14</v>
      </c>
      <c r="F348" s="15" t="s">
        <v>15</v>
      </c>
      <c r="G348" s="16">
        <v>45273</v>
      </c>
      <c r="H348" s="17">
        <v>82</v>
      </c>
      <c r="I348" s="17">
        <v>36.24</v>
      </c>
      <c r="J348" s="17">
        <v>16.440000000000001</v>
      </c>
    </row>
    <row r="349" spans="1:10" ht="15.75" thickBot="1">
      <c r="A349" s="15" t="s">
        <v>376</v>
      </c>
      <c r="B349" s="15" t="s">
        <v>17</v>
      </c>
      <c r="C349" s="15" t="s">
        <v>12</v>
      </c>
      <c r="D349" s="15" t="s">
        <v>19</v>
      </c>
      <c r="E349" s="15" t="s">
        <v>14</v>
      </c>
      <c r="F349" s="15" t="s">
        <v>15</v>
      </c>
      <c r="G349" s="16">
        <v>45274</v>
      </c>
      <c r="H349" s="17">
        <v>368</v>
      </c>
      <c r="I349" s="17">
        <v>63.24</v>
      </c>
      <c r="J349" s="17">
        <v>111.74</v>
      </c>
    </row>
    <row r="350" spans="1:10" ht="15.75" thickBot="1">
      <c r="A350" s="15" t="s">
        <v>377</v>
      </c>
      <c r="B350" s="15" t="s">
        <v>17</v>
      </c>
      <c r="C350" s="15" t="s">
        <v>12</v>
      </c>
      <c r="D350" s="15" t="s">
        <v>13</v>
      </c>
      <c r="E350" s="15" t="s">
        <v>14</v>
      </c>
      <c r="F350" s="15" t="s">
        <v>20</v>
      </c>
      <c r="G350" s="16">
        <v>45275</v>
      </c>
      <c r="H350" s="17">
        <v>232</v>
      </c>
      <c r="I350" s="17">
        <v>117.54</v>
      </c>
      <c r="J350" s="17">
        <v>111.69</v>
      </c>
    </row>
    <row r="351" spans="1:10">
      <c r="A351" s="22" t="s">
        <v>378</v>
      </c>
      <c r="B351" s="22" t="s">
        <v>11</v>
      </c>
      <c r="C351" s="22" t="s">
        <v>31</v>
      </c>
      <c r="D351" s="22" t="s">
        <v>23</v>
      </c>
      <c r="E351" s="22" t="s">
        <v>24</v>
      </c>
      <c r="F351" s="22" t="s">
        <v>15</v>
      </c>
      <c r="G351" s="23">
        <v>45276</v>
      </c>
      <c r="H351" s="24">
        <v>425</v>
      </c>
      <c r="I351" s="24">
        <v>174.13</v>
      </c>
      <c r="J351" s="24">
        <v>315.27999999999997</v>
      </c>
    </row>
  </sheetData>
  <mergeCells count="1">
    <mergeCell ref="L2:S3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2:R354"/>
  <sheetViews>
    <sheetView topLeftCell="E1" workbookViewId="0">
      <selection activeCell="M7" sqref="M7"/>
    </sheetView>
  </sheetViews>
  <sheetFormatPr defaultRowHeight="15"/>
  <cols>
    <col min="1" max="1" width="9.85546875" customWidth="1"/>
    <col min="3" max="3" width="9.7109375" customWidth="1"/>
    <col min="4" max="4" width="10.5703125" customWidth="1"/>
    <col min="5" max="5" width="14.42578125" customWidth="1"/>
    <col min="6" max="6" width="14.28515625" customWidth="1"/>
    <col min="7" max="7" width="17.85546875" customWidth="1"/>
    <col min="8" max="8" width="11.28515625" customWidth="1"/>
    <col min="9" max="9" width="11" customWidth="1"/>
    <col min="10" max="10" width="10.5703125" customWidth="1"/>
    <col min="11" max="11" width="13.42578125" customWidth="1"/>
    <col min="12" max="12" width="10.28515625" bestFit="1" customWidth="1"/>
    <col min="13" max="13" width="19.42578125" bestFit="1" customWidth="1"/>
    <col min="18" max="18" width="14.5703125" customWidth="1"/>
  </cols>
  <sheetData>
    <row r="2" spans="1:18" ht="21">
      <c r="A2" s="25" t="s">
        <v>400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4" spans="1:18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6" t="s">
        <v>395</v>
      </c>
      <c r="L4" s="26" t="s">
        <v>401</v>
      </c>
    </row>
    <row r="5" spans="1:18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44927</v>
      </c>
      <c r="H5" s="3">
        <v>235</v>
      </c>
      <c r="I5" s="3">
        <v>152.91999999999999</v>
      </c>
      <c r="J5" s="3">
        <v>153.6</v>
      </c>
      <c r="K5" s="35">
        <f>Table3[[#This Row],[Units Sold]]*Table3[[#This Row],[Unit Price]]</f>
        <v>35936.199999999997</v>
      </c>
      <c r="L5">
        <f>(I5-J5)*H5</f>
        <v>-159.8000000000016</v>
      </c>
    </row>
    <row r="6" spans="1:18">
      <c r="A6" s="3" t="s">
        <v>16</v>
      </c>
      <c r="B6" s="3" t="s">
        <v>17</v>
      </c>
      <c r="C6" s="3" t="s">
        <v>18</v>
      </c>
      <c r="D6" s="3" t="s">
        <v>19</v>
      </c>
      <c r="E6" s="3" t="s">
        <v>14</v>
      </c>
      <c r="F6" s="3" t="s">
        <v>20</v>
      </c>
      <c r="G6" s="4">
        <v>44928</v>
      </c>
      <c r="H6" s="3">
        <v>341</v>
      </c>
      <c r="I6" s="3">
        <v>467.92</v>
      </c>
      <c r="J6" s="3">
        <v>139.84</v>
      </c>
      <c r="K6" s="35">
        <f>Table3[[#This Row],[Units Sold]]*Table3[[#This Row],[Unit Price]]</f>
        <v>159560.72</v>
      </c>
      <c r="L6">
        <f t="shared" ref="L6:L69" si="0">(I6-J6)*H6</f>
        <v>111875.28000000001</v>
      </c>
    </row>
    <row r="7" spans="1:18">
      <c r="A7" s="3" t="s">
        <v>21</v>
      </c>
      <c r="B7" s="3" t="s">
        <v>22</v>
      </c>
      <c r="C7" s="3" t="s">
        <v>18</v>
      </c>
      <c r="D7" s="3" t="s">
        <v>23</v>
      </c>
      <c r="E7" s="3" t="s">
        <v>24</v>
      </c>
      <c r="F7" s="3" t="s">
        <v>15</v>
      </c>
      <c r="G7" s="4">
        <v>44929</v>
      </c>
      <c r="H7" s="3">
        <v>179</v>
      </c>
      <c r="I7" s="3">
        <v>473.94</v>
      </c>
      <c r="J7" s="3">
        <v>97.14</v>
      </c>
      <c r="K7" s="35">
        <f>Table3[[#This Row],[Units Sold]]*Table3[[#This Row],[Unit Price]]</f>
        <v>84835.26</v>
      </c>
      <c r="L7">
        <f t="shared" si="0"/>
        <v>67447.199999999997</v>
      </c>
    </row>
    <row r="8" spans="1:18">
      <c r="A8" s="3" t="s">
        <v>25</v>
      </c>
      <c r="B8" s="3" t="s">
        <v>11</v>
      </c>
      <c r="C8" s="3" t="s">
        <v>26</v>
      </c>
      <c r="D8" s="3" t="s">
        <v>27</v>
      </c>
      <c r="E8" s="3" t="s">
        <v>24</v>
      </c>
      <c r="F8" s="3" t="s">
        <v>28</v>
      </c>
      <c r="G8" s="4">
        <v>44930</v>
      </c>
      <c r="H8" s="3">
        <v>18</v>
      </c>
      <c r="I8" s="3">
        <v>314.52999999999997</v>
      </c>
      <c r="J8" s="3">
        <v>204.87</v>
      </c>
      <c r="K8" s="35">
        <f>Table3[[#This Row],[Units Sold]]*Table3[[#This Row],[Unit Price]]</f>
        <v>5661.5399999999991</v>
      </c>
      <c r="L8">
        <f t="shared" si="0"/>
        <v>1973.8799999999994</v>
      </c>
    </row>
    <row r="9" spans="1:18">
      <c r="A9" s="3" t="s">
        <v>29</v>
      </c>
      <c r="B9" s="3" t="s">
        <v>11</v>
      </c>
      <c r="C9" s="3" t="s">
        <v>18</v>
      </c>
      <c r="D9" s="3" t="s">
        <v>27</v>
      </c>
      <c r="E9" s="3" t="s">
        <v>24</v>
      </c>
      <c r="F9" s="3" t="s">
        <v>28</v>
      </c>
      <c r="G9" s="4">
        <v>44931</v>
      </c>
      <c r="H9" s="3">
        <v>472</v>
      </c>
      <c r="I9" s="3">
        <v>392.79</v>
      </c>
      <c r="J9" s="3">
        <v>330.46</v>
      </c>
      <c r="K9" s="35">
        <f>Table3[[#This Row],[Units Sold]]*Table3[[#This Row],[Unit Price]]</f>
        <v>185396.88</v>
      </c>
      <c r="L9">
        <f t="shared" si="0"/>
        <v>29419.76000000002</v>
      </c>
    </row>
    <row r="10" spans="1:18">
      <c r="A10" s="3" t="s">
        <v>30</v>
      </c>
      <c r="B10" s="3" t="s">
        <v>17</v>
      </c>
      <c r="C10" s="3" t="s">
        <v>31</v>
      </c>
      <c r="D10" s="3" t="s">
        <v>23</v>
      </c>
      <c r="E10" s="3" t="s">
        <v>14</v>
      </c>
      <c r="F10" s="3" t="s">
        <v>15</v>
      </c>
      <c r="G10" s="4">
        <v>44932</v>
      </c>
      <c r="H10" s="3">
        <v>49</v>
      </c>
      <c r="I10" s="3">
        <v>308.07</v>
      </c>
      <c r="J10" s="3">
        <v>113.32</v>
      </c>
      <c r="K10" s="35">
        <f>Table3[[#This Row],[Units Sold]]*Table3[[#This Row],[Unit Price]]</f>
        <v>15095.43</v>
      </c>
      <c r="L10">
        <f t="shared" si="0"/>
        <v>9542.75</v>
      </c>
    </row>
    <row r="11" spans="1:18" ht="15.75" thickBot="1">
      <c r="A11" s="3" t="s">
        <v>32</v>
      </c>
      <c r="B11" s="3" t="s">
        <v>22</v>
      </c>
      <c r="C11" s="3" t="s">
        <v>12</v>
      </c>
      <c r="D11" s="3" t="s">
        <v>23</v>
      </c>
      <c r="E11" s="3" t="s">
        <v>14</v>
      </c>
      <c r="F11" s="3" t="s">
        <v>20</v>
      </c>
      <c r="G11" s="4">
        <v>44933</v>
      </c>
      <c r="H11" s="3">
        <v>34</v>
      </c>
      <c r="I11" s="3">
        <v>244.78</v>
      </c>
      <c r="J11" s="3">
        <v>377.07</v>
      </c>
      <c r="K11" s="35">
        <f>Table3[[#This Row],[Units Sold]]*Table3[[#This Row],[Unit Price]]</f>
        <v>8322.52</v>
      </c>
      <c r="L11">
        <f t="shared" si="0"/>
        <v>-4497.8599999999997</v>
      </c>
    </row>
    <row r="12" spans="1:18" ht="15.75" thickBot="1">
      <c r="A12" s="3" t="s">
        <v>33</v>
      </c>
      <c r="B12" s="3" t="s">
        <v>22</v>
      </c>
      <c r="C12" s="3" t="s">
        <v>18</v>
      </c>
      <c r="D12" s="3" t="s">
        <v>13</v>
      </c>
      <c r="E12" s="3" t="s">
        <v>14</v>
      </c>
      <c r="F12" s="3" t="s">
        <v>15</v>
      </c>
      <c r="G12" s="4">
        <v>44934</v>
      </c>
      <c r="H12" s="3">
        <v>270</v>
      </c>
      <c r="I12" s="3">
        <v>332.11</v>
      </c>
      <c r="J12" s="3">
        <v>349.59</v>
      </c>
      <c r="K12" s="35">
        <f>Table3[[#This Row],[Units Sold]]*Table3[[#This Row],[Unit Price]]</f>
        <v>89669.7</v>
      </c>
      <c r="L12">
        <f t="shared" si="0"/>
        <v>-4719.5999999999894</v>
      </c>
      <c r="M12" s="40" t="s">
        <v>402</v>
      </c>
      <c r="N12" s="41"/>
      <c r="O12" s="41"/>
      <c r="P12" s="41"/>
      <c r="Q12" s="41"/>
      <c r="R12" s="42"/>
    </row>
    <row r="13" spans="1:18" ht="30.75" thickBot="1">
      <c r="A13" s="3" t="s">
        <v>34</v>
      </c>
      <c r="B13" s="3" t="s">
        <v>11</v>
      </c>
      <c r="C13" s="3" t="s">
        <v>18</v>
      </c>
      <c r="D13" s="3" t="s">
        <v>13</v>
      </c>
      <c r="E13" s="3" t="s">
        <v>14</v>
      </c>
      <c r="F13" s="3" t="s">
        <v>20</v>
      </c>
      <c r="G13" s="4">
        <v>44935</v>
      </c>
      <c r="H13" s="3">
        <v>404</v>
      </c>
      <c r="I13" s="3">
        <v>278.74</v>
      </c>
      <c r="J13" s="3">
        <v>66.38</v>
      </c>
      <c r="K13" s="35">
        <f>Table3[[#This Row],[Units Sold]]*Table3[[#This Row],[Unit Price]]</f>
        <v>112610.96</v>
      </c>
      <c r="L13">
        <f t="shared" si="0"/>
        <v>85793.44</v>
      </c>
      <c r="M13" s="27" t="s">
        <v>403</v>
      </c>
      <c r="N13" s="29" t="s">
        <v>1</v>
      </c>
      <c r="O13" s="28"/>
      <c r="P13" s="28"/>
      <c r="Q13" s="28"/>
      <c r="R13" s="28"/>
    </row>
    <row r="14" spans="1:18" ht="15.75" thickBot="1">
      <c r="A14" s="3" t="s">
        <v>35</v>
      </c>
      <c r="C14" s="3" t="s">
        <v>26</v>
      </c>
      <c r="D14" s="3" t="s">
        <v>27</v>
      </c>
      <c r="E14" s="3" t="s">
        <v>14</v>
      </c>
      <c r="F14" s="3" t="s">
        <v>28</v>
      </c>
      <c r="G14" s="4">
        <v>44936</v>
      </c>
      <c r="H14" s="3">
        <v>452</v>
      </c>
      <c r="I14" s="3">
        <v>300.75</v>
      </c>
      <c r="J14" s="3">
        <v>314.94</v>
      </c>
      <c r="K14" s="35">
        <f>Table3[[#This Row],[Units Sold]]*Table3[[#This Row],[Unit Price]]</f>
        <v>135939</v>
      </c>
      <c r="L14">
        <f t="shared" si="0"/>
        <v>-6413.8799999999992</v>
      </c>
      <c r="M14" s="27" t="s">
        <v>3</v>
      </c>
      <c r="N14" s="30" t="s">
        <v>11</v>
      </c>
      <c r="O14" s="30" t="s">
        <v>22</v>
      </c>
      <c r="P14" s="30" t="s">
        <v>48</v>
      </c>
      <c r="Q14" s="30" t="s">
        <v>17</v>
      </c>
      <c r="R14" s="30" t="s">
        <v>404</v>
      </c>
    </row>
    <row r="15" spans="1:18" ht="15.75" thickBot="1">
      <c r="A15" s="3" t="s">
        <v>36</v>
      </c>
      <c r="B15" s="3" t="s">
        <v>11</v>
      </c>
      <c r="C15" s="3" t="s">
        <v>26</v>
      </c>
      <c r="D15" s="3" t="s">
        <v>19</v>
      </c>
      <c r="E15" s="3" t="s">
        <v>14</v>
      </c>
      <c r="F15" s="3" t="s">
        <v>20</v>
      </c>
      <c r="G15" s="4">
        <v>44937</v>
      </c>
      <c r="H15" s="3">
        <v>235</v>
      </c>
      <c r="I15" s="3">
        <v>393</v>
      </c>
      <c r="J15" s="3">
        <v>230.69</v>
      </c>
      <c r="K15" s="35">
        <f>Table3[[#This Row],[Units Sold]]*Table3[[#This Row],[Unit Price]]</f>
        <v>92355</v>
      </c>
      <c r="L15">
        <f t="shared" si="0"/>
        <v>38142.85</v>
      </c>
      <c r="M15" s="31" t="s">
        <v>13</v>
      </c>
      <c r="N15" s="32">
        <v>1110756.69</v>
      </c>
      <c r="O15" s="32">
        <v>1276139.23</v>
      </c>
      <c r="P15" s="32">
        <v>1200540.43</v>
      </c>
      <c r="Q15" s="32">
        <v>1977673.93</v>
      </c>
      <c r="R15" s="32">
        <v>5565110.2800000003</v>
      </c>
    </row>
    <row r="16" spans="1:18" ht="15.75" thickBot="1">
      <c r="A16" s="3" t="s">
        <v>37</v>
      </c>
      <c r="B16" s="3" t="s">
        <v>11</v>
      </c>
      <c r="C16" s="3" t="s">
        <v>31</v>
      </c>
      <c r="D16" s="3" t="s">
        <v>27</v>
      </c>
      <c r="E16" s="3" t="s">
        <v>24</v>
      </c>
      <c r="F16" s="3" t="s">
        <v>28</v>
      </c>
      <c r="G16" s="4">
        <v>44938</v>
      </c>
      <c r="H16" s="3">
        <v>481</v>
      </c>
      <c r="I16" s="3">
        <v>243.05</v>
      </c>
      <c r="J16" s="3">
        <v>227.5</v>
      </c>
      <c r="K16" s="35">
        <f>Table3[[#This Row],[Units Sold]]*Table3[[#This Row],[Unit Price]]</f>
        <v>116907.05</v>
      </c>
      <c r="L16">
        <f t="shared" si="0"/>
        <v>7479.5500000000056</v>
      </c>
      <c r="M16" s="31" t="s">
        <v>23</v>
      </c>
      <c r="N16" s="32">
        <v>1587235.06</v>
      </c>
      <c r="O16" s="32">
        <v>628999.12</v>
      </c>
      <c r="P16" s="32">
        <v>496502.89</v>
      </c>
      <c r="Q16" s="32">
        <v>1134960.6599999999</v>
      </c>
      <c r="R16" s="32">
        <v>3847697.72</v>
      </c>
    </row>
    <row r="17" spans="1:18" ht="15.75" thickBot="1">
      <c r="A17" s="3" t="s">
        <v>38</v>
      </c>
      <c r="B17" s="3" t="s">
        <v>11</v>
      </c>
      <c r="C17" s="3" t="s">
        <v>12</v>
      </c>
      <c r="D17" s="3" t="s">
        <v>19</v>
      </c>
      <c r="E17" s="3" t="s">
        <v>24</v>
      </c>
      <c r="F17" s="3" t="s">
        <v>20</v>
      </c>
      <c r="G17" s="4">
        <v>44939</v>
      </c>
      <c r="H17" s="3">
        <v>133</v>
      </c>
      <c r="I17" s="3">
        <v>25.17</v>
      </c>
      <c r="J17" s="3">
        <v>157.63999999999999</v>
      </c>
      <c r="K17" s="35">
        <f>Table3[[#This Row],[Units Sold]]*Table3[[#This Row],[Unit Price]]</f>
        <v>3347.61</v>
      </c>
      <c r="L17">
        <f t="shared" si="0"/>
        <v>-17618.509999999995</v>
      </c>
      <c r="M17" s="31" t="s">
        <v>42</v>
      </c>
      <c r="N17" s="32">
        <v>946337.61</v>
      </c>
      <c r="O17" s="32">
        <v>950484.27</v>
      </c>
      <c r="P17" s="32">
        <v>1063212.1399999999</v>
      </c>
      <c r="Q17" s="32">
        <v>1560798.92</v>
      </c>
      <c r="R17" s="32">
        <v>4520832.93</v>
      </c>
    </row>
    <row r="18" spans="1:18" ht="15.75" thickBot="1">
      <c r="A18" s="3" t="s">
        <v>39</v>
      </c>
      <c r="B18" s="3" t="s">
        <v>11</v>
      </c>
      <c r="C18" s="3" t="s">
        <v>26</v>
      </c>
      <c r="D18" s="3" t="s">
        <v>19</v>
      </c>
      <c r="E18" s="3" t="s">
        <v>24</v>
      </c>
      <c r="F18" s="3" t="s">
        <v>20</v>
      </c>
      <c r="G18" s="4">
        <v>44940</v>
      </c>
      <c r="H18" s="3">
        <v>472</v>
      </c>
      <c r="I18" s="3">
        <v>86.18</v>
      </c>
      <c r="J18" s="3">
        <v>201.46</v>
      </c>
      <c r="K18" s="35">
        <f>Table3[[#This Row],[Units Sold]]*Table3[[#This Row],[Unit Price]]</f>
        <v>40676.960000000006</v>
      </c>
      <c r="L18">
        <f t="shared" si="0"/>
        <v>-54412.160000000003</v>
      </c>
      <c r="M18" s="31" t="s">
        <v>19</v>
      </c>
      <c r="N18" s="32">
        <v>885524.11</v>
      </c>
      <c r="O18" s="32">
        <v>1659821.75</v>
      </c>
      <c r="P18" s="32">
        <v>698139.6</v>
      </c>
      <c r="Q18" s="32">
        <v>824625.53</v>
      </c>
      <c r="R18" s="32">
        <v>4068110.98</v>
      </c>
    </row>
    <row r="19" spans="1:18" ht="15.75" thickBot="1">
      <c r="A19" s="3" t="s">
        <v>40</v>
      </c>
      <c r="B19" s="3" t="s">
        <v>17</v>
      </c>
      <c r="C19" s="3" t="s">
        <v>18</v>
      </c>
      <c r="D19" s="3" t="s">
        <v>13</v>
      </c>
      <c r="E19" s="3" t="s">
        <v>24</v>
      </c>
      <c r="F19" s="3" t="s">
        <v>20</v>
      </c>
      <c r="G19" s="4">
        <v>44941</v>
      </c>
      <c r="H19" s="3">
        <v>47</v>
      </c>
      <c r="I19" s="3">
        <v>222.11</v>
      </c>
      <c r="J19" s="3">
        <v>160.08000000000001</v>
      </c>
      <c r="K19" s="35">
        <f>Table3[[#This Row],[Units Sold]]*Table3[[#This Row],[Unit Price]]</f>
        <v>10439.17</v>
      </c>
      <c r="L19">
        <f t="shared" si="0"/>
        <v>2915.41</v>
      </c>
      <c r="M19" s="31" t="s">
        <v>27</v>
      </c>
      <c r="N19" s="32">
        <v>1761231.27</v>
      </c>
      <c r="O19" s="32">
        <v>731274.15</v>
      </c>
      <c r="P19" s="32">
        <v>832820.25</v>
      </c>
      <c r="Q19" s="32">
        <v>1129285.8899999999</v>
      </c>
      <c r="R19" s="32">
        <v>4454611.5599999996</v>
      </c>
    </row>
    <row r="20" spans="1:18" ht="15.75" thickBot="1">
      <c r="A20" s="3" t="s">
        <v>41</v>
      </c>
      <c r="B20" s="3" t="s">
        <v>22</v>
      </c>
      <c r="C20" s="3" t="s">
        <v>12</v>
      </c>
      <c r="D20" s="3" t="s">
        <v>42</v>
      </c>
      <c r="E20" s="3" t="s">
        <v>14</v>
      </c>
      <c r="F20" s="3" t="s">
        <v>15</v>
      </c>
      <c r="G20" s="4">
        <v>44942</v>
      </c>
      <c r="H20" s="3">
        <v>337</v>
      </c>
      <c r="I20" s="3">
        <v>363.79</v>
      </c>
      <c r="J20" s="3">
        <v>216.81</v>
      </c>
      <c r="K20" s="35">
        <f>Table3[[#This Row],[Units Sold]]*Table3[[#This Row],[Unit Price]]</f>
        <v>122597.23000000001</v>
      </c>
      <c r="L20">
        <f t="shared" si="0"/>
        <v>49532.260000000009</v>
      </c>
      <c r="M20" s="33" t="s">
        <v>404</v>
      </c>
      <c r="N20" s="34">
        <v>6291084.7300000004</v>
      </c>
      <c r="O20" s="34">
        <v>5246718.51</v>
      </c>
      <c r="P20" s="34">
        <v>4291215.3</v>
      </c>
      <c r="Q20" s="34">
        <v>6627344.9199999999</v>
      </c>
      <c r="R20" s="34">
        <v>22456363.449999999</v>
      </c>
    </row>
    <row r="21" spans="1:18">
      <c r="A21" s="3" t="s">
        <v>43</v>
      </c>
      <c r="B21" s="3" t="s">
        <v>17</v>
      </c>
      <c r="C21" s="3" t="s">
        <v>12</v>
      </c>
      <c r="D21" s="3" t="s">
        <v>42</v>
      </c>
      <c r="E21" s="3" t="s">
        <v>14</v>
      </c>
      <c r="F21" s="3" t="s">
        <v>15</v>
      </c>
      <c r="G21" s="4">
        <v>44943</v>
      </c>
      <c r="H21" s="3">
        <v>260</v>
      </c>
      <c r="I21" s="3">
        <v>298.67</v>
      </c>
      <c r="J21" s="3">
        <v>251.92</v>
      </c>
      <c r="K21" s="35">
        <f>Table3[[#This Row],[Units Sold]]*Table3[[#This Row],[Unit Price]]</f>
        <v>77654.2</v>
      </c>
      <c r="L21">
        <f t="shared" si="0"/>
        <v>12155.000000000007</v>
      </c>
    </row>
    <row r="22" spans="1:18">
      <c r="A22" s="3" t="s">
        <v>44</v>
      </c>
      <c r="C22" s="3" t="s">
        <v>18</v>
      </c>
      <c r="D22" s="3" t="s">
        <v>23</v>
      </c>
      <c r="E22" s="3" t="s">
        <v>24</v>
      </c>
      <c r="F22" s="3" t="s">
        <v>28</v>
      </c>
      <c r="G22" s="4">
        <v>44944</v>
      </c>
      <c r="H22" s="3">
        <v>398</v>
      </c>
      <c r="I22" s="3">
        <v>326.89999999999998</v>
      </c>
      <c r="J22" s="3">
        <v>270.37</v>
      </c>
      <c r="K22" s="35">
        <f>Table3[[#This Row],[Units Sold]]*Table3[[#This Row],[Unit Price]]</f>
        <v>130106.2</v>
      </c>
      <c r="L22">
        <f t="shared" si="0"/>
        <v>22498.939999999988</v>
      </c>
    </row>
    <row r="23" spans="1:18">
      <c r="A23" s="3" t="s">
        <v>45</v>
      </c>
      <c r="B23" s="3" t="s">
        <v>17</v>
      </c>
      <c r="C23" s="3" t="s">
        <v>26</v>
      </c>
      <c r="D23" s="3" t="s">
        <v>13</v>
      </c>
      <c r="E23" s="3" t="s">
        <v>14</v>
      </c>
      <c r="F23" s="3" t="s">
        <v>28</v>
      </c>
      <c r="G23" s="4">
        <v>44945</v>
      </c>
      <c r="H23" s="3">
        <v>185</v>
      </c>
      <c r="I23" s="3">
        <v>242.24</v>
      </c>
      <c r="J23" s="3">
        <v>213.93</v>
      </c>
      <c r="K23" s="35">
        <f>Table3[[#This Row],[Units Sold]]*Table3[[#This Row],[Unit Price]]</f>
        <v>44814.400000000001</v>
      </c>
      <c r="L23">
        <f t="shared" si="0"/>
        <v>5237.3500000000004</v>
      </c>
    </row>
    <row r="24" spans="1:18">
      <c r="A24" s="3" t="s">
        <v>46</v>
      </c>
      <c r="B24" s="3" t="s">
        <v>11</v>
      </c>
      <c r="C24" s="3" t="s">
        <v>18</v>
      </c>
      <c r="D24" s="3" t="s">
        <v>19</v>
      </c>
      <c r="E24" s="3" t="s">
        <v>24</v>
      </c>
      <c r="F24" s="3" t="s">
        <v>15</v>
      </c>
      <c r="G24" s="4">
        <v>44946</v>
      </c>
      <c r="H24" s="3">
        <v>99</v>
      </c>
      <c r="I24" s="3">
        <v>309.79000000000002</v>
      </c>
      <c r="J24" s="3">
        <v>289.13</v>
      </c>
      <c r="K24" s="35">
        <f>Table3[[#This Row],[Units Sold]]*Table3[[#This Row],[Unit Price]]</f>
        <v>30669.210000000003</v>
      </c>
      <c r="L24">
        <f t="shared" si="0"/>
        <v>2045.3400000000024</v>
      </c>
    </row>
    <row r="25" spans="1:18">
      <c r="A25" s="3" t="s">
        <v>47</v>
      </c>
      <c r="B25" s="3" t="s">
        <v>48</v>
      </c>
      <c r="C25" s="3" t="s">
        <v>12</v>
      </c>
      <c r="D25" s="3" t="s">
        <v>42</v>
      </c>
      <c r="E25" s="3" t="s">
        <v>24</v>
      </c>
      <c r="F25" s="3" t="s">
        <v>28</v>
      </c>
      <c r="G25" s="4">
        <v>44947</v>
      </c>
      <c r="H25" s="3">
        <v>411</v>
      </c>
      <c r="I25" s="3">
        <v>167.86</v>
      </c>
      <c r="J25" s="3">
        <v>58.23</v>
      </c>
      <c r="K25" s="35">
        <f>Table3[[#This Row],[Units Sold]]*Table3[[#This Row],[Unit Price]]</f>
        <v>68990.460000000006</v>
      </c>
      <c r="L25">
        <f t="shared" si="0"/>
        <v>45057.930000000008</v>
      </c>
    </row>
    <row r="26" spans="1:18">
      <c r="A26" s="3" t="s">
        <v>49</v>
      </c>
      <c r="B26" s="3" t="s">
        <v>22</v>
      </c>
      <c r="C26" s="3" t="s">
        <v>50</v>
      </c>
      <c r="D26" s="3" t="s">
        <v>19</v>
      </c>
      <c r="E26" s="3" t="s">
        <v>24</v>
      </c>
      <c r="F26" s="3" t="s">
        <v>15</v>
      </c>
      <c r="G26" s="4">
        <v>44948</v>
      </c>
      <c r="H26" s="3">
        <v>463</v>
      </c>
      <c r="I26" s="3">
        <v>237.74</v>
      </c>
      <c r="J26" s="3">
        <v>86.37</v>
      </c>
      <c r="K26" s="35">
        <f>Table3[[#This Row],[Units Sold]]*Table3[[#This Row],[Unit Price]]</f>
        <v>110073.62000000001</v>
      </c>
      <c r="L26">
        <f t="shared" si="0"/>
        <v>70084.31</v>
      </c>
    </row>
    <row r="27" spans="1:18">
      <c r="A27" s="3" t="s">
        <v>51</v>
      </c>
      <c r="B27" s="3" t="s">
        <v>48</v>
      </c>
      <c r="C27" s="3" t="s">
        <v>50</v>
      </c>
      <c r="D27" s="3" t="s">
        <v>42</v>
      </c>
      <c r="E27" s="3" t="s">
        <v>14</v>
      </c>
      <c r="F27" s="3" t="s">
        <v>20</v>
      </c>
      <c r="G27" s="4">
        <v>44949</v>
      </c>
      <c r="H27" s="3">
        <v>46</v>
      </c>
      <c r="I27" s="3">
        <v>373.42</v>
      </c>
      <c r="J27" s="3">
        <v>327.86</v>
      </c>
      <c r="K27" s="35">
        <f>Table3[[#This Row],[Units Sold]]*Table3[[#This Row],[Unit Price]]</f>
        <v>17177.32</v>
      </c>
      <c r="L27">
        <f t="shared" si="0"/>
        <v>2095.7600000000002</v>
      </c>
    </row>
    <row r="28" spans="1:18">
      <c r="A28" s="3" t="s">
        <v>52</v>
      </c>
      <c r="B28" s="3" t="s">
        <v>17</v>
      </c>
      <c r="C28" s="3" t="s">
        <v>31</v>
      </c>
      <c r="D28" s="3" t="s">
        <v>42</v>
      </c>
      <c r="E28" s="3" t="s">
        <v>24</v>
      </c>
      <c r="F28" s="3" t="s">
        <v>28</v>
      </c>
      <c r="G28" s="4">
        <v>44950</v>
      </c>
      <c r="H28" s="3">
        <v>325</v>
      </c>
      <c r="I28" s="3">
        <v>436.56</v>
      </c>
      <c r="J28" s="3">
        <v>130.37</v>
      </c>
      <c r="K28" s="35">
        <f>Table3[[#This Row],[Units Sold]]*Table3[[#This Row],[Unit Price]]</f>
        <v>141882</v>
      </c>
      <c r="L28">
        <f t="shared" si="0"/>
        <v>99511.75</v>
      </c>
    </row>
    <row r="29" spans="1:18">
      <c r="A29" s="3" t="s">
        <v>53</v>
      </c>
      <c r="B29" s="3" t="s">
        <v>17</v>
      </c>
      <c r="C29" s="3" t="s">
        <v>18</v>
      </c>
      <c r="E29" s="3" t="s">
        <v>24</v>
      </c>
      <c r="F29" s="3" t="s">
        <v>28</v>
      </c>
      <c r="G29" s="4">
        <v>44951</v>
      </c>
      <c r="H29" s="3">
        <v>185</v>
      </c>
      <c r="I29" s="3">
        <v>219.66</v>
      </c>
      <c r="J29" s="3">
        <v>11.11</v>
      </c>
      <c r="K29" s="35">
        <f>Table3[[#This Row],[Units Sold]]*Table3[[#This Row],[Unit Price]]</f>
        <v>40637.1</v>
      </c>
      <c r="L29">
        <f t="shared" si="0"/>
        <v>38581.75</v>
      </c>
    </row>
    <row r="30" spans="1:18">
      <c r="A30" s="3" t="s">
        <v>54</v>
      </c>
      <c r="B30" s="3" t="s">
        <v>48</v>
      </c>
      <c r="C30" s="3" t="s">
        <v>18</v>
      </c>
      <c r="D30" s="3" t="s">
        <v>13</v>
      </c>
      <c r="E30" s="3" t="s">
        <v>24</v>
      </c>
      <c r="F30" s="3" t="s">
        <v>15</v>
      </c>
      <c r="G30" s="4">
        <v>44952</v>
      </c>
      <c r="H30" s="3">
        <v>470</v>
      </c>
      <c r="I30" s="3">
        <v>26.61</v>
      </c>
      <c r="J30" s="3">
        <v>63.21</v>
      </c>
      <c r="K30" s="35">
        <f>Table3[[#This Row],[Units Sold]]*Table3[[#This Row],[Unit Price]]</f>
        <v>12506.699999999999</v>
      </c>
      <c r="L30">
        <f t="shared" si="0"/>
        <v>-17202</v>
      </c>
    </row>
    <row r="31" spans="1:18">
      <c r="A31" s="3" t="s">
        <v>55</v>
      </c>
      <c r="B31" s="3" t="s">
        <v>48</v>
      </c>
      <c r="C31" s="3" t="s">
        <v>31</v>
      </c>
      <c r="D31" s="3" t="s">
        <v>27</v>
      </c>
      <c r="E31" s="3" t="s">
        <v>14</v>
      </c>
      <c r="F31" s="3" t="s">
        <v>28</v>
      </c>
      <c r="G31" s="4">
        <v>44953</v>
      </c>
      <c r="H31" s="3">
        <v>293</v>
      </c>
      <c r="I31" s="3">
        <v>85.03</v>
      </c>
      <c r="J31" s="3">
        <v>91</v>
      </c>
      <c r="K31" s="35">
        <f>Table3[[#This Row],[Units Sold]]*Table3[[#This Row],[Unit Price]]</f>
        <v>24913.79</v>
      </c>
      <c r="L31">
        <f t="shared" si="0"/>
        <v>-1749.2099999999996</v>
      </c>
    </row>
    <row r="32" spans="1:18">
      <c r="A32" s="3" t="s">
        <v>56</v>
      </c>
      <c r="B32" s="3" t="s">
        <v>48</v>
      </c>
      <c r="C32" s="3" t="s">
        <v>31</v>
      </c>
      <c r="D32" s="3" t="s">
        <v>19</v>
      </c>
      <c r="E32" s="3" t="s">
        <v>14</v>
      </c>
      <c r="F32" s="3" t="s">
        <v>28</v>
      </c>
      <c r="G32" s="4">
        <v>44954</v>
      </c>
      <c r="H32" s="3">
        <v>462</v>
      </c>
      <c r="I32">
        <v>255.4</v>
      </c>
      <c r="J32" s="3">
        <v>383.01</v>
      </c>
      <c r="K32" s="35">
        <f>Table3[[#This Row],[Units Sold]]*Table3[[#This Row],[Unit Price]]</f>
        <v>117994.8</v>
      </c>
      <c r="L32">
        <f t="shared" si="0"/>
        <v>-58955.819999999992</v>
      </c>
    </row>
    <row r="33" spans="1:12">
      <c r="A33" s="3" t="s">
        <v>57</v>
      </c>
      <c r="B33" s="3" t="s">
        <v>17</v>
      </c>
      <c r="C33" s="3" t="s">
        <v>31</v>
      </c>
      <c r="D33" s="3" t="s">
        <v>13</v>
      </c>
      <c r="E33" s="3" t="s">
        <v>24</v>
      </c>
      <c r="F33" s="3" t="s">
        <v>20</v>
      </c>
      <c r="G33" s="4">
        <v>44955</v>
      </c>
      <c r="H33" s="3">
        <v>470</v>
      </c>
      <c r="I33">
        <v>328.37</v>
      </c>
      <c r="J33" s="3">
        <v>230.07</v>
      </c>
      <c r="K33" s="35">
        <f>Table3[[#This Row],[Units Sold]]*Table3[[#This Row],[Unit Price]]</f>
        <v>154333.9</v>
      </c>
      <c r="L33">
        <f t="shared" si="0"/>
        <v>46201.000000000007</v>
      </c>
    </row>
    <row r="34" spans="1:12">
      <c r="A34" s="3" t="s">
        <v>58</v>
      </c>
      <c r="B34" s="3" t="s">
        <v>17</v>
      </c>
      <c r="C34" s="3" t="s">
        <v>12</v>
      </c>
      <c r="D34" s="3" t="s">
        <v>13</v>
      </c>
      <c r="E34" s="3" t="s">
        <v>14</v>
      </c>
      <c r="F34" s="3" t="s">
        <v>28</v>
      </c>
      <c r="G34" s="4">
        <v>44956</v>
      </c>
      <c r="H34" s="3">
        <v>90</v>
      </c>
      <c r="I34">
        <v>169.5</v>
      </c>
      <c r="J34" s="3">
        <v>373.23</v>
      </c>
      <c r="K34" s="35">
        <f>Table3[[#This Row],[Units Sold]]*Table3[[#This Row],[Unit Price]]</f>
        <v>15255</v>
      </c>
      <c r="L34">
        <f t="shared" si="0"/>
        <v>-18335.7</v>
      </c>
    </row>
    <row r="35" spans="1:12">
      <c r="A35" s="3" t="s">
        <v>59</v>
      </c>
      <c r="C35" s="3" t="s">
        <v>18</v>
      </c>
      <c r="D35" s="3" t="s">
        <v>13</v>
      </c>
      <c r="E35" s="3" t="s">
        <v>14</v>
      </c>
      <c r="F35" s="3" t="s">
        <v>20</v>
      </c>
      <c r="G35" s="4">
        <v>44957</v>
      </c>
      <c r="H35" s="3">
        <v>123</v>
      </c>
      <c r="I35">
        <v>273.52999999999997</v>
      </c>
      <c r="J35" s="3">
        <v>230.92</v>
      </c>
      <c r="K35" s="35">
        <f>Table3[[#This Row],[Units Sold]]*Table3[[#This Row],[Unit Price]]</f>
        <v>33644.189999999995</v>
      </c>
      <c r="L35">
        <f t="shared" si="0"/>
        <v>5241.0299999999979</v>
      </c>
    </row>
    <row r="36" spans="1:12">
      <c r="A36" s="3" t="s">
        <v>60</v>
      </c>
      <c r="B36" s="3" t="s">
        <v>22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44958</v>
      </c>
      <c r="H36" s="3">
        <v>49</v>
      </c>
      <c r="I36">
        <v>249.17</v>
      </c>
      <c r="J36" s="3">
        <v>192.78</v>
      </c>
      <c r="K36" s="35">
        <f>Table3[[#This Row],[Units Sold]]*Table3[[#This Row],[Unit Price]]</f>
        <v>12209.33</v>
      </c>
      <c r="L36">
        <f t="shared" si="0"/>
        <v>2763.1099999999992</v>
      </c>
    </row>
    <row r="37" spans="1:12">
      <c r="A37" s="3" t="s">
        <v>61</v>
      </c>
      <c r="B37" s="3" t="s">
        <v>17</v>
      </c>
      <c r="C37" s="3" t="s">
        <v>31</v>
      </c>
      <c r="D37" s="3" t="s">
        <v>13</v>
      </c>
      <c r="E37" s="3" t="s">
        <v>14</v>
      </c>
      <c r="F37" s="3" t="s">
        <v>28</v>
      </c>
      <c r="G37" s="4">
        <v>44959</v>
      </c>
      <c r="H37" s="3">
        <v>310</v>
      </c>
      <c r="I37">
        <v>45.36</v>
      </c>
      <c r="J37" s="3">
        <v>126.86</v>
      </c>
      <c r="K37" s="35">
        <f>Table3[[#This Row],[Units Sold]]*Table3[[#This Row],[Unit Price]]</f>
        <v>14061.6</v>
      </c>
      <c r="L37">
        <f t="shared" si="0"/>
        <v>-25265</v>
      </c>
    </row>
    <row r="38" spans="1:12">
      <c r="A38" s="3" t="s">
        <v>62</v>
      </c>
      <c r="B38" s="3" t="s">
        <v>48</v>
      </c>
      <c r="C38" s="3" t="s">
        <v>18</v>
      </c>
      <c r="D38" s="3" t="s">
        <v>23</v>
      </c>
      <c r="E38" s="3" t="s">
        <v>14</v>
      </c>
      <c r="F38" s="3" t="s">
        <v>20</v>
      </c>
      <c r="G38" s="4">
        <v>44960</v>
      </c>
      <c r="H38" s="3">
        <v>233</v>
      </c>
      <c r="I38">
        <v>204.61</v>
      </c>
      <c r="J38" s="3">
        <v>243.34</v>
      </c>
      <c r="K38" s="35">
        <f>Table3[[#This Row],[Units Sold]]*Table3[[#This Row],[Unit Price]]</f>
        <v>47674.130000000005</v>
      </c>
      <c r="L38">
        <f t="shared" si="0"/>
        <v>-9024.0899999999983</v>
      </c>
    </row>
    <row r="39" spans="1:12">
      <c r="A39" s="3" t="s">
        <v>63</v>
      </c>
      <c r="B39" s="3" t="s">
        <v>48</v>
      </c>
      <c r="C39" s="3" t="s">
        <v>12</v>
      </c>
      <c r="D39" s="3" t="s">
        <v>19</v>
      </c>
      <c r="E39" s="3" t="s">
        <v>14</v>
      </c>
      <c r="F39" s="3" t="s">
        <v>15</v>
      </c>
      <c r="G39" s="4">
        <v>44961</v>
      </c>
      <c r="H39" s="3">
        <v>327</v>
      </c>
      <c r="I39">
        <v>114.18</v>
      </c>
      <c r="J39" s="3">
        <v>57.4</v>
      </c>
      <c r="K39" s="35">
        <f>Table3[[#This Row],[Units Sold]]*Table3[[#This Row],[Unit Price]]</f>
        <v>37336.86</v>
      </c>
      <c r="L39">
        <f t="shared" si="0"/>
        <v>18567.060000000001</v>
      </c>
    </row>
    <row r="40" spans="1:12">
      <c r="A40" s="3" t="s">
        <v>64</v>
      </c>
      <c r="B40" s="3" t="s">
        <v>22</v>
      </c>
      <c r="C40" s="3" t="s">
        <v>12</v>
      </c>
      <c r="D40" s="3" t="s">
        <v>13</v>
      </c>
      <c r="E40" s="3" t="s">
        <v>14</v>
      </c>
      <c r="F40" s="3" t="s">
        <v>28</v>
      </c>
      <c r="G40" s="4">
        <v>44962</v>
      </c>
      <c r="H40" s="3">
        <v>358</v>
      </c>
      <c r="I40">
        <v>212.11</v>
      </c>
      <c r="J40" s="3">
        <v>359.51</v>
      </c>
      <c r="K40" s="35">
        <f>Table3[[#This Row],[Units Sold]]*Table3[[#This Row],[Unit Price]]</f>
        <v>75935.38</v>
      </c>
      <c r="L40">
        <f t="shared" si="0"/>
        <v>-52769.19999999999</v>
      </c>
    </row>
    <row r="41" spans="1:12">
      <c r="A41" s="3" t="s">
        <v>65</v>
      </c>
      <c r="B41" s="3" t="s">
        <v>17</v>
      </c>
      <c r="C41" s="3" t="s">
        <v>31</v>
      </c>
      <c r="D41" s="3" t="s">
        <v>19</v>
      </c>
      <c r="E41" s="3" t="s">
        <v>14</v>
      </c>
      <c r="F41" s="3" t="s">
        <v>15</v>
      </c>
      <c r="G41" s="4">
        <v>44963</v>
      </c>
      <c r="H41" s="3">
        <v>124</v>
      </c>
      <c r="I41">
        <v>255.4</v>
      </c>
      <c r="J41" s="3">
        <v>332.07</v>
      </c>
      <c r="K41" s="35">
        <f>Table3[[#This Row],[Units Sold]]*Table3[[#This Row],[Unit Price]]</f>
        <v>31669.600000000002</v>
      </c>
      <c r="L41">
        <f t="shared" si="0"/>
        <v>-9507.0799999999981</v>
      </c>
    </row>
    <row r="42" spans="1:12">
      <c r="A42" s="3" t="s">
        <v>66</v>
      </c>
      <c r="B42" s="3" t="s">
        <v>22</v>
      </c>
      <c r="C42" s="3" t="s">
        <v>18</v>
      </c>
      <c r="D42" s="3" t="s">
        <v>23</v>
      </c>
      <c r="E42" s="3" t="s">
        <v>14</v>
      </c>
      <c r="F42" s="3" t="s">
        <v>28</v>
      </c>
      <c r="G42" s="4">
        <v>44964</v>
      </c>
      <c r="H42" s="3">
        <v>195</v>
      </c>
      <c r="I42">
        <v>421.02</v>
      </c>
      <c r="J42" s="3">
        <v>128.38</v>
      </c>
      <c r="K42" s="35">
        <f>Table3[[#This Row],[Units Sold]]*Table3[[#This Row],[Unit Price]]</f>
        <v>82098.899999999994</v>
      </c>
      <c r="L42">
        <f t="shared" si="0"/>
        <v>57064.799999999996</v>
      </c>
    </row>
    <row r="43" spans="1:12">
      <c r="A43" s="3" t="s">
        <v>67</v>
      </c>
      <c r="B43" s="3" t="s">
        <v>22</v>
      </c>
      <c r="C43" s="3" t="s">
        <v>31</v>
      </c>
      <c r="D43" s="3" t="s">
        <v>23</v>
      </c>
      <c r="E43" s="3" t="s">
        <v>14</v>
      </c>
      <c r="F43" s="3" t="s">
        <v>15</v>
      </c>
      <c r="G43" s="4">
        <v>44965</v>
      </c>
      <c r="H43">
        <v>248.5</v>
      </c>
      <c r="I43">
        <v>91.23</v>
      </c>
      <c r="J43" s="3">
        <v>381.21</v>
      </c>
      <c r="K43" s="35">
        <f>Table3[[#This Row],[Units Sold]]*Table3[[#This Row],[Unit Price]]</f>
        <v>22670.655000000002</v>
      </c>
      <c r="L43">
        <f t="shared" si="0"/>
        <v>-72060.029999999984</v>
      </c>
    </row>
    <row r="44" spans="1:12">
      <c r="A44" s="3" t="s">
        <v>68</v>
      </c>
      <c r="B44" s="3" t="s">
        <v>11</v>
      </c>
      <c r="C44" s="3" t="s">
        <v>18</v>
      </c>
      <c r="D44" s="3" t="s">
        <v>19</v>
      </c>
      <c r="E44" s="3" t="s">
        <v>24</v>
      </c>
      <c r="F44" s="3" t="s">
        <v>15</v>
      </c>
      <c r="G44" s="4">
        <v>44966</v>
      </c>
      <c r="H44">
        <v>65</v>
      </c>
      <c r="I44">
        <v>480.59</v>
      </c>
      <c r="J44" s="3">
        <v>330.43</v>
      </c>
      <c r="K44" s="35">
        <f>Table3[[#This Row],[Units Sold]]*Table3[[#This Row],[Unit Price]]</f>
        <v>31238.35</v>
      </c>
      <c r="L44">
        <f t="shared" si="0"/>
        <v>9760.3999999999978</v>
      </c>
    </row>
    <row r="45" spans="1:12">
      <c r="A45" s="3" t="s">
        <v>69</v>
      </c>
      <c r="B45" s="3" t="s">
        <v>11</v>
      </c>
      <c r="C45" s="3" t="s">
        <v>50</v>
      </c>
      <c r="D45" s="3" t="s">
        <v>42</v>
      </c>
      <c r="E45" s="3" t="s">
        <v>24</v>
      </c>
      <c r="F45" s="3" t="s">
        <v>20</v>
      </c>
      <c r="G45" s="4">
        <v>44967</v>
      </c>
      <c r="H45">
        <v>49</v>
      </c>
      <c r="I45">
        <v>210.87</v>
      </c>
      <c r="J45" s="3">
        <v>267.19</v>
      </c>
      <c r="K45" s="35">
        <f>Table3[[#This Row],[Units Sold]]*Table3[[#This Row],[Unit Price]]</f>
        <v>10332.630000000001</v>
      </c>
      <c r="L45">
        <f t="shared" si="0"/>
        <v>-2759.68</v>
      </c>
    </row>
    <row r="46" spans="1:12">
      <c r="A46" s="3" t="s">
        <v>70</v>
      </c>
      <c r="B46" s="3" t="s">
        <v>11</v>
      </c>
      <c r="C46" s="3" t="s">
        <v>26</v>
      </c>
      <c r="D46" s="3" t="s">
        <v>27</v>
      </c>
      <c r="E46" s="3" t="s">
        <v>14</v>
      </c>
      <c r="F46" s="3" t="s">
        <v>15</v>
      </c>
      <c r="G46" s="4">
        <v>44968</v>
      </c>
      <c r="H46">
        <v>363</v>
      </c>
      <c r="I46">
        <v>423.89</v>
      </c>
      <c r="J46" s="3">
        <v>50.46</v>
      </c>
      <c r="K46" s="35">
        <f>Table3[[#This Row],[Units Sold]]*Table3[[#This Row],[Unit Price]]</f>
        <v>153872.07</v>
      </c>
      <c r="L46">
        <f t="shared" si="0"/>
        <v>135555.09</v>
      </c>
    </row>
    <row r="47" spans="1:12">
      <c r="A47" s="3" t="s">
        <v>71</v>
      </c>
      <c r="B47" s="3" t="s">
        <v>48</v>
      </c>
      <c r="C47" s="3" t="s">
        <v>26</v>
      </c>
      <c r="D47" s="3" t="s">
        <v>42</v>
      </c>
      <c r="E47" s="3" t="s">
        <v>24</v>
      </c>
      <c r="F47" s="3" t="s">
        <v>28</v>
      </c>
      <c r="G47" s="4">
        <v>44969</v>
      </c>
      <c r="H47">
        <v>49</v>
      </c>
      <c r="I47">
        <v>316.24</v>
      </c>
      <c r="J47" s="3">
        <v>192.34</v>
      </c>
      <c r="K47" s="35">
        <f>Table3[[#This Row],[Units Sold]]*Table3[[#This Row],[Unit Price]]</f>
        <v>15495.76</v>
      </c>
      <c r="L47">
        <f t="shared" si="0"/>
        <v>6071.1</v>
      </c>
    </row>
    <row r="48" spans="1:12">
      <c r="A48" s="3" t="s">
        <v>72</v>
      </c>
      <c r="B48" s="3" t="s">
        <v>17</v>
      </c>
      <c r="C48" s="3" t="s">
        <v>26</v>
      </c>
      <c r="D48" s="3" t="s">
        <v>42</v>
      </c>
      <c r="E48" s="3" t="s">
        <v>24</v>
      </c>
      <c r="F48" s="3" t="s">
        <v>28</v>
      </c>
      <c r="G48" s="4">
        <v>44970</v>
      </c>
      <c r="H48">
        <v>356</v>
      </c>
      <c r="I48">
        <v>369</v>
      </c>
      <c r="J48" s="3">
        <v>203.43</v>
      </c>
      <c r="K48" s="35">
        <f>Table3[[#This Row],[Units Sold]]*Table3[[#This Row],[Unit Price]]</f>
        <v>131364</v>
      </c>
      <c r="L48">
        <f t="shared" si="0"/>
        <v>58942.92</v>
      </c>
    </row>
    <row r="49" spans="1:12">
      <c r="A49" s="3" t="s">
        <v>73</v>
      </c>
      <c r="B49" s="3" t="s">
        <v>17</v>
      </c>
      <c r="C49" s="3" t="s">
        <v>31</v>
      </c>
      <c r="D49" s="3" t="s">
        <v>42</v>
      </c>
      <c r="E49" s="3" t="s">
        <v>14</v>
      </c>
      <c r="F49" s="3" t="s">
        <v>20</v>
      </c>
      <c r="G49" s="4">
        <v>44971</v>
      </c>
      <c r="H49">
        <v>470</v>
      </c>
      <c r="I49">
        <v>255.4</v>
      </c>
      <c r="J49" s="3">
        <v>94.56</v>
      </c>
      <c r="K49" s="35">
        <f>Table3[[#This Row],[Units Sold]]*Table3[[#This Row],[Unit Price]]</f>
        <v>120038</v>
      </c>
      <c r="L49">
        <f t="shared" si="0"/>
        <v>75594.8</v>
      </c>
    </row>
    <row r="50" spans="1:12">
      <c r="A50" s="3" t="s">
        <v>74</v>
      </c>
      <c r="B50" s="3" t="s">
        <v>17</v>
      </c>
      <c r="C50" s="3" t="s">
        <v>50</v>
      </c>
      <c r="D50" s="3" t="s">
        <v>13</v>
      </c>
      <c r="E50" s="3" t="s">
        <v>14</v>
      </c>
      <c r="F50" s="3" t="s">
        <v>28</v>
      </c>
      <c r="G50" s="4">
        <v>44972</v>
      </c>
      <c r="H50">
        <v>246</v>
      </c>
      <c r="I50">
        <v>254.9</v>
      </c>
      <c r="J50" s="3">
        <v>33.83</v>
      </c>
      <c r="K50" s="35">
        <f>Table3[[#This Row],[Units Sold]]*Table3[[#This Row],[Unit Price]]</f>
        <v>62705.4</v>
      </c>
      <c r="L50">
        <f t="shared" si="0"/>
        <v>54383.22</v>
      </c>
    </row>
    <row r="51" spans="1:12">
      <c r="A51" s="3" t="s">
        <v>75</v>
      </c>
      <c r="B51" s="3" t="s">
        <v>17</v>
      </c>
      <c r="C51" s="3" t="s">
        <v>18</v>
      </c>
      <c r="D51" s="3" t="s">
        <v>23</v>
      </c>
      <c r="E51" s="3" t="s">
        <v>14</v>
      </c>
      <c r="F51" s="3" t="s">
        <v>28</v>
      </c>
      <c r="G51" s="4">
        <v>44973</v>
      </c>
      <c r="H51">
        <v>298</v>
      </c>
      <c r="I51">
        <v>273.93</v>
      </c>
      <c r="J51" s="3">
        <v>311.14</v>
      </c>
      <c r="K51" s="35">
        <f>Table3[[#This Row],[Units Sold]]*Table3[[#This Row],[Unit Price]]</f>
        <v>81631.14</v>
      </c>
      <c r="L51">
        <f t="shared" si="0"/>
        <v>-11088.579999999994</v>
      </c>
    </row>
    <row r="52" spans="1:12">
      <c r="A52" s="3" t="s">
        <v>76</v>
      </c>
      <c r="B52" s="3" t="s">
        <v>11</v>
      </c>
      <c r="C52" s="3" t="s">
        <v>12</v>
      </c>
      <c r="D52" s="3" t="s">
        <v>42</v>
      </c>
      <c r="E52" s="3" t="s">
        <v>24</v>
      </c>
      <c r="F52" s="3" t="s">
        <v>28</v>
      </c>
      <c r="G52" s="4">
        <v>44974</v>
      </c>
      <c r="H52">
        <v>271</v>
      </c>
      <c r="I52">
        <v>259.43</v>
      </c>
      <c r="J52" s="3">
        <v>50.57</v>
      </c>
      <c r="K52" s="35">
        <f>Table3[[#This Row],[Units Sold]]*Table3[[#This Row],[Unit Price]]</f>
        <v>70305.53</v>
      </c>
      <c r="L52">
        <f t="shared" si="0"/>
        <v>56601.060000000005</v>
      </c>
    </row>
    <row r="53" spans="1:12">
      <c r="A53" s="3" t="s">
        <v>77</v>
      </c>
      <c r="B53" s="3" t="s">
        <v>48</v>
      </c>
      <c r="C53" s="3" t="s">
        <v>18</v>
      </c>
      <c r="D53" s="3" t="s">
        <v>23</v>
      </c>
      <c r="E53" s="3" t="s">
        <v>24</v>
      </c>
      <c r="F53" s="3" t="s">
        <v>15</v>
      </c>
      <c r="G53" s="4">
        <v>44975</v>
      </c>
      <c r="H53">
        <v>225</v>
      </c>
      <c r="I53">
        <v>296.08999999999997</v>
      </c>
      <c r="J53" s="3">
        <v>238.53</v>
      </c>
      <c r="K53" s="35">
        <f>Table3[[#This Row],[Units Sold]]*Table3[[#This Row],[Unit Price]]</f>
        <v>66620.25</v>
      </c>
      <c r="L53">
        <f t="shared" si="0"/>
        <v>12950.999999999995</v>
      </c>
    </row>
    <row r="54" spans="1:12">
      <c r="A54" s="3" t="s">
        <v>78</v>
      </c>
      <c r="C54" s="3" t="s">
        <v>12</v>
      </c>
      <c r="D54" s="3" t="s">
        <v>19</v>
      </c>
      <c r="E54" s="3" t="s">
        <v>14</v>
      </c>
      <c r="F54" s="3" t="s">
        <v>15</v>
      </c>
      <c r="G54" s="4">
        <v>44976</v>
      </c>
      <c r="H54">
        <v>156</v>
      </c>
      <c r="I54">
        <v>19.55</v>
      </c>
      <c r="J54" s="3">
        <v>374.71</v>
      </c>
      <c r="K54" s="35">
        <f>Table3[[#This Row],[Units Sold]]*Table3[[#This Row],[Unit Price]]</f>
        <v>3049.8</v>
      </c>
      <c r="L54">
        <f t="shared" si="0"/>
        <v>-55404.959999999992</v>
      </c>
    </row>
    <row r="55" spans="1:12">
      <c r="A55" s="3" t="s">
        <v>79</v>
      </c>
      <c r="B55" s="3" t="s">
        <v>11</v>
      </c>
      <c r="C55" s="3" t="s">
        <v>18</v>
      </c>
      <c r="D55" s="3" t="s">
        <v>27</v>
      </c>
      <c r="E55" s="3" t="s">
        <v>14</v>
      </c>
      <c r="F55" s="3" t="s">
        <v>28</v>
      </c>
      <c r="G55" s="4">
        <v>44977</v>
      </c>
      <c r="H55">
        <v>345</v>
      </c>
      <c r="I55">
        <v>200.78</v>
      </c>
      <c r="J55" s="3">
        <v>350.69</v>
      </c>
      <c r="K55" s="35">
        <f>Table3[[#This Row],[Units Sold]]*Table3[[#This Row],[Unit Price]]</f>
        <v>69269.100000000006</v>
      </c>
      <c r="L55">
        <f t="shared" si="0"/>
        <v>-51718.95</v>
      </c>
    </row>
    <row r="56" spans="1:12">
      <c r="A56" s="3" t="s">
        <v>80</v>
      </c>
      <c r="B56" s="3" t="s">
        <v>48</v>
      </c>
      <c r="C56" s="3" t="s">
        <v>50</v>
      </c>
      <c r="D56" s="3" t="s">
        <v>19</v>
      </c>
      <c r="E56" s="3" t="s">
        <v>14</v>
      </c>
      <c r="F56" s="3" t="s">
        <v>20</v>
      </c>
      <c r="G56" s="4">
        <v>44978</v>
      </c>
      <c r="H56">
        <v>177</v>
      </c>
      <c r="I56">
        <v>305.06</v>
      </c>
      <c r="J56" s="3">
        <v>112.55</v>
      </c>
      <c r="K56" s="35">
        <f>Table3[[#This Row],[Units Sold]]*Table3[[#This Row],[Unit Price]]</f>
        <v>53995.62</v>
      </c>
      <c r="L56">
        <f t="shared" si="0"/>
        <v>34074.269999999997</v>
      </c>
    </row>
    <row r="57" spans="1:12">
      <c r="A57" s="3" t="s">
        <v>81</v>
      </c>
      <c r="B57" s="3" t="s">
        <v>11</v>
      </c>
      <c r="C57" s="3" t="s">
        <v>12</v>
      </c>
      <c r="D57" s="3" t="s">
        <v>19</v>
      </c>
      <c r="E57" s="3" t="s">
        <v>24</v>
      </c>
      <c r="F57" s="3" t="s">
        <v>15</v>
      </c>
      <c r="G57" s="4">
        <v>44979</v>
      </c>
      <c r="H57">
        <v>101</v>
      </c>
      <c r="I57">
        <v>300.87</v>
      </c>
      <c r="J57" s="3">
        <v>340.88</v>
      </c>
      <c r="K57" s="35">
        <f>Table3[[#This Row],[Units Sold]]*Table3[[#This Row],[Unit Price]]</f>
        <v>30387.87</v>
      </c>
      <c r="L57">
        <f t="shared" si="0"/>
        <v>-4041.0099999999993</v>
      </c>
    </row>
    <row r="58" spans="1:12">
      <c r="A58" s="3" t="s">
        <v>82</v>
      </c>
      <c r="B58" s="3" t="s">
        <v>17</v>
      </c>
      <c r="C58" s="3" t="s">
        <v>31</v>
      </c>
      <c r="D58" s="3" t="s">
        <v>13</v>
      </c>
      <c r="E58" s="3" t="s">
        <v>24</v>
      </c>
      <c r="F58" s="3" t="s">
        <v>20</v>
      </c>
      <c r="G58" s="4">
        <v>44980</v>
      </c>
      <c r="H58">
        <v>362</v>
      </c>
      <c r="I58">
        <v>397.51</v>
      </c>
      <c r="J58" s="3">
        <v>2.13</v>
      </c>
      <c r="K58" s="35">
        <f>Table3[[#This Row],[Units Sold]]*Table3[[#This Row],[Unit Price]]</f>
        <v>143898.62</v>
      </c>
      <c r="L58">
        <f t="shared" si="0"/>
        <v>143127.56</v>
      </c>
    </row>
    <row r="59" spans="1:12">
      <c r="A59" s="3" t="s">
        <v>83</v>
      </c>
      <c r="B59" s="3" t="s">
        <v>11</v>
      </c>
      <c r="C59" s="3" t="s">
        <v>18</v>
      </c>
      <c r="D59" s="3" t="s">
        <v>27</v>
      </c>
      <c r="E59" s="3" t="s">
        <v>24</v>
      </c>
      <c r="F59" s="3" t="s">
        <v>28</v>
      </c>
      <c r="G59" s="4">
        <v>44981</v>
      </c>
      <c r="H59">
        <v>68</v>
      </c>
      <c r="I59">
        <v>329.23</v>
      </c>
      <c r="J59" s="3">
        <v>9.0399999999999991</v>
      </c>
      <c r="K59" s="35">
        <f>Table3[[#This Row],[Units Sold]]*Table3[[#This Row],[Unit Price]]</f>
        <v>22387.64</v>
      </c>
      <c r="L59">
        <f t="shared" si="0"/>
        <v>21772.92</v>
      </c>
    </row>
    <row r="60" spans="1:12">
      <c r="A60" s="3" t="s">
        <v>84</v>
      </c>
      <c r="B60" s="3" t="s">
        <v>17</v>
      </c>
      <c r="C60" s="3" t="s">
        <v>18</v>
      </c>
      <c r="D60" s="3" t="s">
        <v>19</v>
      </c>
      <c r="E60" s="3" t="s">
        <v>24</v>
      </c>
      <c r="F60" s="3" t="s">
        <v>28</v>
      </c>
      <c r="G60" s="4">
        <v>44982</v>
      </c>
      <c r="H60">
        <v>68</v>
      </c>
      <c r="I60">
        <v>496.11</v>
      </c>
      <c r="J60" s="3">
        <v>241.82</v>
      </c>
      <c r="K60" s="35">
        <f>Table3[[#This Row],[Units Sold]]*Table3[[#This Row],[Unit Price]]</f>
        <v>33735.480000000003</v>
      </c>
      <c r="L60">
        <f t="shared" si="0"/>
        <v>17291.72</v>
      </c>
    </row>
    <row r="61" spans="1:12">
      <c r="A61" s="3" t="s">
        <v>85</v>
      </c>
      <c r="B61" s="3" t="s">
        <v>17</v>
      </c>
      <c r="C61" s="3" t="s">
        <v>12</v>
      </c>
      <c r="D61" s="3" t="s">
        <v>19</v>
      </c>
      <c r="E61" s="3" t="s">
        <v>14</v>
      </c>
      <c r="F61" s="3" t="s">
        <v>15</v>
      </c>
      <c r="G61" s="4">
        <v>44983</v>
      </c>
      <c r="H61">
        <v>313</v>
      </c>
      <c r="I61">
        <v>145.51</v>
      </c>
      <c r="J61" s="3">
        <v>147.19</v>
      </c>
      <c r="K61" s="35">
        <f>Table3[[#This Row],[Units Sold]]*Table3[[#This Row],[Unit Price]]</f>
        <v>45544.63</v>
      </c>
      <c r="L61">
        <f t="shared" si="0"/>
        <v>-525.84000000000219</v>
      </c>
    </row>
    <row r="62" spans="1:12">
      <c r="A62" s="3" t="s">
        <v>86</v>
      </c>
      <c r="B62" s="3" t="s">
        <v>22</v>
      </c>
      <c r="C62" s="3" t="s">
        <v>31</v>
      </c>
      <c r="D62" s="3" t="s">
        <v>27</v>
      </c>
      <c r="E62" s="3" t="s">
        <v>14</v>
      </c>
      <c r="F62" s="3" t="s">
        <v>28</v>
      </c>
      <c r="G62" s="4">
        <v>44984</v>
      </c>
      <c r="H62">
        <v>178</v>
      </c>
      <c r="I62">
        <v>182.78</v>
      </c>
      <c r="J62" s="3">
        <v>155.81</v>
      </c>
      <c r="K62" s="35">
        <f>Table3[[#This Row],[Units Sold]]*Table3[[#This Row],[Unit Price]]</f>
        <v>32534.84</v>
      </c>
      <c r="L62">
        <f t="shared" si="0"/>
        <v>4800.66</v>
      </c>
    </row>
    <row r="63" spans="1:12">
      <c r="A63" s="3" t="s">
        <v>87</v>
      </c>
      <c r="B63" s="3" t="s">
        <v>11</v>
      </c>
      <c r="C63" s="3" t="s">
        <v>31</v>
      </c>
      <c r="D63" s="3" t="s">
        <v>27</v>
      </c>
      <c r="E63" s="3" t="s">
        <v>14</v>
      </c>
      <c r="F63" s="3" t="s">
        <v>15</v>
      </c>
      <c r="G63" s="4">
        <v>44985</v>
      </c>
      <c r="H63">
        <v>278</v>
      </c>
      <c r="I63">
        <v>195</v>
      </c>
      <c r="J63" s="3">
        <v>226.65</v>
      </c>
      <c r="K63" s="35">
        <f>Table3[[#This Row],[Units Sold]]*Table3[[#This Row],[Unit Price]]</f>
        <v>54210</v>
      </c>
      <c r="L63">
        <f t="shared" si="0"/>
        <v>-8798.7000000000007</v>
      </c>
    </row>
    <row r="64" spans="1:12">
      <c r="A64" s="3" t="s">
        <v>88</v>
      </c>
      <c r="B64" s="3" t="s">
        <v>22</v>
      </c>
      <c r="C64" s="3" t="s">
        <v>50</v>
      </c>
      <c r="D64" s="3" t="s">
        <v>19</v>
      </c>
      <c r="E64" s="3" t="s">
        <v>14</v>
      </c>
      <c r="F64" s="3" t="s">
        <v>28</v>
      </c>
      <c r="G64" s="4">
        <v>44986</v>
      </c>
      <c r="H64">
        <v>372</v>
      </c>
      <c r="I64">
        <v>235.58</v>
      </c>
      <c r="J64" s="3">
        <v>78.33</v>
      </c>
      <c r="K64" s="35">
        <f>Table3[[#This Row],[Units Sold]]*Table3[[#This Row],[Unit Price]]</f>
        <v>87635.760000000009</v>
      </c>
      <c r="L64">
        <f t="shared" si="0"/>
        <v>58497</v>
      </c>
    </row>
    <row r="65" spans="1:12">
      <c r="A65" s="3" t="s">
        <v>89</v>
      </c>
      <c r="B65" s="3" t="s">
        <v>11</v>
      </c>
      <c r="C65" s="3" t="s">
        <v>31</v>
      </c>
      <c r="D65" s="3" t="s">
        <v>27</v>
      </c>
      <c r="E65" s="3" t="s">
        <v>24</v>
      </c>
      <c r="F65" s="3" t="s">
        <v>28</v>
      </c>
      <c r="G65" s="4">
        <v>44987</v>
      </c>
      <c r="H65">
        <v>54</v>
      </c>
      <c r="I65">
        <v>418.82</v>
      </c>
      <c r="J65" s="3">
        <v>86.28</v>
      </c>
      <c r="K65" s="35">
        <f>Table3[[#This Row],[Units Sold]]*Table3[[#This Row],[Unit Price]]</f>
        <v>22616.28</v>
      </c>
      <c r="L65">
        <f t="shared" si="0"/>
        <v>17957.159999999996</v>
      </c>
    </row>
    <row r="66" spans="1:12">
      <c r="A66" s="3" t="s">
        <v>90</v>
      </c>
      <c r="B66" s="3" t="s">
        <v>11</v>
      </c>
      <c r="C66" s="3" t="s">
        <v>31</v>
      </c>
      <c r="D66" s="3" t="s">
        <v>19</v>
      </c>
      <c r="E66" s="3" t="s">
        <v>24</v>
      </c>
      <c r="F66" s="3" t="s">
        <v>15</v>
      </c>
      <c r="G66" s="4">
        <v>44988</v>
      </c>
      <c r="H66">
        <v>354</v>
      </c>
      <c r="I66">
        <v>121.72</v>
      </c>
      <c r="J66" s="3">
        <v>194.87</v>
      </c>
      <c r="K66" s="35">
        <f>Table3[[#This Row],[Units Sold]]*Table3[[#This Row],[Unit Price]]</f>
        <v>43088.88</v>
      </c>
      <c r="L66">
        <f t="shared" si="0"/>
        <v>-25895.100000000002</v>
      </c>
    </row>
    <row r="67" spans="1:12">
      <c r="A67" s="3" t="s">
        <v>91</v>
      </c>
      <c r="B67" s="3" t="s">
        <v>22</v>
      </c>
      <c r="C67" s="3" t="s">
        <v>31</v>
      </c>
      <c r="D67" s="3" t="s">
        <v>19</v>
      </c>
      <c r="E67" s="3" t="s">
        <v>14</v>
      </c>
      <c r="F67" s="3" t="s">
        <v>15</v>
      </c>
      <c r="G67" s="4">
        <v>44989</v>
      </c>
      <c r="H67">
        <v>190</v>
      </c>
      <c r="I67">
        <v>389.12</v>
      </c>
      <c r="J67" s="3">
        <v>302.19</v>
      </c>
      <c r="K67" s="35">
        <f>Table3[[#This Row],[Units Sold]]*Table3[[#This Row],[Unit Price]]</f>
        <v>73932.800000000003</v>
      </c>
      <c r="L67">
        <f t="shared" si="0"/>
        <v>16516.7</v>
      </c>
    </row>
    <row r="68" spans="1:12">
      <c r="A68" s="3" t="s">
        <v>92</v>
      </c>
      <c r="C68" s="3" t="s">
        <v>26</v>
      </c>
      <c r="D68" s="3" t="s">
        <v>13</v>
      </c>
      <c r="E68" s="3" t="s">
        <v>14</v>
      </c>
      <c r="F68" s="3" t="s">
        <v>15</v>
      </c>
      <c r="G68" s="4">
        <v>44990</v>
      </c>
      <c r="H68">
        <v>179</v>
      </c>
      <c r="I68">
        <v>205.63</v>
      </c>
      <c r="J68" s="3">
        <v>248.56</v>
      </c>
      <c r="K68" s="35">
        <f>Table3[[#This Row],[Units Sold]]*Table3[[#This Row],[Unit Price]]</f>
        <v>36807.769999999997</v>
      </c>
      <c r="L68">
        <f t="shared" si="0"/>
        <v>-7684.4700000000012</v>
      </c>
    </row>
    <row r="69" spans="1:12">
      <c r="A69" s="3" t="s">
        <v>93</v>
      </c>
      <c r="B69" s="3" t="s">
        <v>11</v>
      </c>
      <c r="C69" s="3" t="s">
        <v>50</v>
      </c>
      <c r="D69" s="3" t="s">
        <v>42</v>
      </c>
      <c r="E69" s="3" t="s">
        <v>24</v>
      </c>
      <c r="F69" s="3" t="s">
        <v>28</v>
      </c>
      <c r="G69" s="4">
        <v>44991</v>
      </c>
      <c r="H69">
        <v>365</v>
      </c>
      <c r="I69">
        <v>302.92</v>
      </c>
      <c r="J69" s="3">
        <v>120.35</v>
      </c>
      <c r="K69" s="35">
        <f>Table3[[#This Row],[Units Sold]]*Table3[[#This Row],[Unit Price]]</f>
        <v>110565.8</v>
      </c>
      <c r="L69">
        <f t="shared" si="0"/>
        <v>66638.05</v>
      </c>
    </row>
    <row r="70" spans="1:12">
      <c r="A70" s="3" t="s">
        <v>94</v>
      </c>
      <c r="B70" s="3" t="s">
        <v>48</v>
      </c>
      <c r="C70" s="3" t="s">
        <v>18</v>
      </c>
      <c r="D70" s="3" t="s">
        <v>19</v>
      </c>
      <c r="E70" s="3" t="s">
        <v>14</v>
      </c>
      <c r="F70" s="3" t="s">
        <v>28</v>
      </c>
      <c r="G70" s="4">
        <v>44992</v>
      </c>
      <c r="H70">
        <v>200</v>
      </c>
      <c r="I70">
        <v>318.11</v>
      </c>
      <c r="J70" s="3">
        <v>173.27</v>
      </c>
      <c r="K70" s="35">
        <f>Table3[[#This Row],[Units Sold]]*Table3[[#This Row],[Unit Price]]</f>
        <v>63622</v>
      </c>
      <c r="L70">
        <f t="shared" ref="L70:L133" si="1">(I70-J70)*H70</f>
        <v>28968</v>
      </c>
    </row>
    <row r="71" spans="1:12">
      <c r="A71" s="3" t="s">
        <v>95</v>
      </c>
      <c r="B71" s="3" t="s">
        <v>17</v>
      </c>
      <c r="C71" s="3" t="s">
        <v>12</v>
      </c>
      <c r="D71" s="3" t="s">
        <v>23</v>
      </c>
      <c r="E71" s="3" t="s">
        <v>24</v>
      </c>
      <c r="F71" s="3" t="s">
        <v>20</v>
      </c>
      <c r="G71" s="4">
        <v>44993</v>
      </c>
      <c r="H71">
        <v>164</v>
      </c>
      <c r="I71">
        <v>189.56</v>
      </c>
      <c r="J71" s="3">
        <v>69.92</v>
      </c>
      <c r="K71" s="35">
        <f>Table3[[#This Row],[Units Sold]]*Table3[[#This Row],[Unit Price]]</f>
        <v>31087.84</v>
      </c>
      <c r="L71">
        <f t="shared" si="1"/>
        <v>19620.96</v>
      </c>
    </row>
    <row r="72" spans="1:12">
      <c r="A72" s="3" t="s">
        <v>96</v>
      </c>
      <c r="B72" s="3" t="s">
        <v>22</v>
      </c>
      <c r="C72" s="3" t="s">
        <v>18</v>
      </c>
      <c r="D72" s="3" t="s">
        <v>42</v>
      </c>
      <c r="E72" s="3" t="s">
        <v>14</v>
      </c>
      <c r="F72" s="3" t="s">
        <v>15</v>
      </c>
      <c r="G72" s="4">
        <v>44994</v>
      </c>
      <c r="H72">
        <v>431</v>
      </c>
      <c r="I72">
        <v>258.74</v>
      </c>
      <c r="J72" s="3">
        <v>31.7</v>
      </c>
      <c r="K72" s="35">
        <f>Table3[[#This Row],[Units Sold]]*Table3[[#This Row],[Unit Price]]</f>
        <v>111516.94</v>
      </c>
      <c r="L72">
        <f t="shared" si="1"/>
        <v>97854.24</v>
      </c>
    </row>
    <row r="73" spans="1:12">
      <c r="A73" s="3" t="s">
        <v>97</v>
      </c>
      <c r="B73" s="3" t="s">
        <v>17</v>
      </c>
      <c r="C73" s="3" t="s">
        <v>50</v>
      </c>
      <c r="D73" s="3" t="s">
        <v>42</v>
      </c>
      <c r="E73" s="3" t="s">
        <v>14</v>
      </c>
      <c r="F73" s="3" t="s">
        <v>28</v>
      </c>
      <c r="G73" s="4">
        <v>44995</v>
      </c>
      <c r="H73">
        <v>197</v>
      </c>
      <c r="I73">
        <v>209.45</v>
      </c>
      <c r="J73" s="3">
        <v>313.51</v>
      </c>
      <c r="K73" s="35">
        <f>Table3[[#This Row],[Units Sold]]*Table3[[#This Row],[Unit Price]]</f>
        <v>41261.649999999994</v>
      </c>
      <c r="L73">
        <f t="shared" si="1"/>
        <v>-20499.82</v>
      </c>
    </row>
    <row r="74" spans="1:12">
      <c r="A74" s="3" t="s">
        <v>98</v>
      </c>
      <c r="B74" s="3" t="s">
        <v>48</v>
      </c>
      <c r="C74" s="3" t="s">
        <v>12</v>
      </c>
      <c r="D74" s="3" t="s">
        <v>42</v>
      </c>
      <c r="E74" s="3" t="s">
        <v>14</v>
      </c>
      <c r="F74" s="3" t="s">
        <v>28</v>
      </c>
      <c r="G74" s="4">
        <v>44996</v>
      </c>
      <c r="H74">
        <v>16</v>
      </c>
      <c r="I74">
        <v>39.22</v>
      </c>
      <c r="J74" s="3">
        <v>107.62</v>
      </c>
      <c r="K74" s="35">
        <f>Table3[[#This Row],[Units Sold]]*Table3[[#This Row],[Unit Price]]</f>
        <v>627.52</v>
      </c>
      <c r="L74">
        <f t="shared" si="1"/>
        <v>-1094.4000000000001</v>
      </c>
    </row>
    <row r="75" spans="1:12">
      <c r="A75" s="3" t="s">
        <v>99</v>
      </c>
      <c r="B75" s="3" t="s">
        <v>48</v>
      </c>
      <c r="C75" s="3" t="s">
        <v>50</v>
      </c>
      <c r="D75" s="3" t="s">
        <v>13</v>
      </c>
      <c r="E75" s="3" t="s">
        <v>14</v>
      </c>
      <c r="F75" s="3" t="s">
        <v>15</v>
      </c>
      <c r="G75" s="4">
        <v>44997</v>
      </c>
      <c r="H75">
        <v>142</v>
      </c>
      <c r="I75">
        <v>221.4</v>
      </c>
      <c r="J75" s="3">
        <v>72.75</v>
      </c>
      <c r="K75" s="35">
        <f>Table3[[#This Row],[Units Sold]]*Table3[[#This Row],[Unit Price]]</f>
        <v>31438.799999999999</v>
      </c>
      <c r="L75">
        <f t="shared" si="1"/>
        <v>21108.3</v>
      </c>
    </row>
    <row r="76" spans="1:12">
      <c r="A76" s="3" t="s">
        <v>100</v>
      </c>
      <c r="B76" s="3" t="s">
        <v>48</v>
      </c>
      <c r="C76" s="3" t="s">
        <v>31</v>
      </c>
      <c r="D76" s="3" t="s">
        <v>19</v>
      </c>
      <c r="E76" s="3" t="s">
        <v>14</v>
      </c>
      <c r="F76" s="3" t="s">
        <v>20</v>
      </c>
      <c r="G76" s="4">
        <v>44998</v>
      </c>
      <c r="H76">
        <v>244</v>
      </c>
      <c r="I76">
        <v>53.21</v>
      </c>
      <c r="J76" s="3">
        <v>277.26</v>
      </c>
      <c r="K76" s="35">
        <f>Table3[[#This Row],[Units Sold]]*Table3[[#This Row],[Unit Price]]</f>
        <v>12983.24</v>
      </c>
      <c r="L76">
        <f t="shared" si="1"/>
        <v>-54668.2</v>
      </c>
    </row>
    <row r="77" spans="1:12">
      <c r="A77" s="3" t="s">
        <v>101</v>
      </c>
      <c r="B77" s="3" t="s">
        <v>22</v>
      </c>
      <c r="C77" s="3" t="s">
        <v>12</v>
      </c>
      <c r="D77" s="3" t="s">
        <v>13</v>
      </c>
      <c r="E77" s="3" t="s">
        <v>14</v>
      </c>
      <c r="F77" s="3" t="s">
        <v>15</v>
      </c>
      <c r="G77" s="4">
        <v>44999</v>
      </c>
      <c r="H77">
        <v>54</v>
      </c>
      <c r="I77">
        <v>205.49</v>
      </c>
      <c r="J77" s="3">
        <v>247.98</v>
      </c>
      <c r="K77" s="35">
        <f>Table3[[#This Row],[Units Sold]]*Table3[[#This Row],[Unit Price]]</f>
        <v>11096.460000000001</v>
      </c>
      <c r="L77">
        <f t="shared" si="1"/>
        <v>-2294.4599999999991</v>
      </c>
    </row>
    <row r="78" spans="1:12">
      <c r="A78" s="3" t="s">
        <v>102</v>
      </c>
      <c r="B78" s="3" t="s">
        <v>48</v>
      </c>
      <c r="C78" s="3" t="s">
        <v>31</v>
      </c>
      <c r="D78" s="3" t="s">
        <v>19</v>
      </c>
      <c r="E78" s="3" t="s">
        <v>14</v>
      </c>
      <c r="F78" s="3" t="s">
        <v>20</v>
      </c>
      <c r="G78" s="4">
        <v>45000</v>
      </c>
      <c r="H78">
        <v>323</v>
      </c>
      <c r="I78">
        <v>298.49</v>
      </c>
      <c r="J78" s="3">
        <v>254.01</v>
      </c>
      <c r="K78" s="35">
        <f>Table3[[#This Row],[Units Sold]]*Table3[[#This Row],[Unit Price]]</f>
        <v>96412.27</v>
      </c>
      <c r="L78">
        <f t="shared" si="1"/>
        <v>14367.040000000006</v>
      </c>
    </row>
    <row r="79" spans="1:12">
      <c r="A79" s="3" t="s">
        <v>103</v>
      </c>
      <c r="B79" s="3" t="s">
        <v>22</v>
      </c>
      <c r="C79" s="3" t="s">
        <v>18</v>
      </c>
      <c r="D79" s="3" t="s">
        <v>13</v>
      </c>
      <c r="E79" s="3" t="s">
        <v>24</v>
      </c>
      <c r="F79" s="3" t="s">
        <v>28</v>
      </c>
      <c r="G79" s="4">
        <v>45001</v>
      </c>
      <c r="H79">
        <v>258</v>
      </c>
      <c r="I79">
        <v>291.81</v>
      </c>
      <c r="J79" s="3">
        <v>93.1</v>
      </c>
      <c r="K79" s="35">
        <f>Table3[[#This Row],[Units Sold]]*Table3[[#This Row],[Unit Price]]</f>
        <v>75286.98</v>
      </c>
      <c r="L79">
        <f t="shared" si="1"/>
        <v>51267.18</v>
      </c>
    </row>
    <row r="80" spans="1:12">
      <c r="A80" s="3" t="s">
        <v>104</v>
      </c>
      <c r="B80" s="3" t="s">
        <v>48</v>
      </c>
      <c r="C80" s="3" t="s">
        <v>18</v>
      </c>
      <c r="D80" s="3" t="s">
        <v>13</v>
      </c>
      <c r="E80" s="3" t="s">
        <v>24</v>
      </c>
      <c r="F80" s="3" t="s">
        <v>20</v>
      </c>
      <c r="G80" s="4">
        <v>45002</v>
      </c>
      <c r="H80">
        <v>40</v>
      </c>
      <c r="I80">
        <v>333</v>
      </c>
      <c r="J80" s="3">
        <v>94.59</v>
      </c>
      <c r="K80" s="35">
        <f>Table3[[#This Row],[Units Sold]]*Table3[[#This Row],[Unit Price]]</f>
        <v>13320</v>
      </c>
      <c r="L80">
        <f t="shared" si="1"/>
        <v>9536.4</v>
      </c>
    </row>
    <row r="81" spans="1:12">
      <c r="A81" s="3" t="s">
        <v>105</v>
      </c>
      <c r="B81" s="3" t="s">
        <v>17</v>
      </c>
      <c r="C81" s="3" t="s">
        <v>12</v>
      </c>
      <c r="D81" s="3" t="s">
        <v>23</v>
      </c>
      <c r="E81" s="3" t="s">
        <v>24</v>
      </c>
      <c r="F81" s="3" t="s">
        <v>28</v>
      </c>
      <c r="G81" s="4">
        <v>45003</v>
      </c>
      <c r="H81">
        <v>32</v>
      </c>
      <c r="I81">
        <v>52.15</v>
      </c>
      <c r="J81" s="3">
        <v>89.88</v>
      </c>
      <c r="K81" s="35">
        <f>Table3[[#This Row],[Units Sold]]*Table3[[#This Row],[Unit Price]]</f>
        <v>1668.8</v>
      </c>
      <c r="L81">
        <f t="shared" si="1"/>
        <v>-1207.3599999999999</v>
      </c>
    </row>
    <row r="82" spans="1:12">
      <c r="A82" s="3" t="s">
        <v>106</v>
      </c>
      <c r="B82" s="3" t="s">
        <v>17</v>
      </c>
      <c r="C82" s="3" t="s">
        <v>12</v>
      </c>
      <c r="D82" s="3" t="s">
        <v>13</v>
      </c>
      <c r="E82" s="3" t="s">
        <v>24</v>
      </c>
      <c r="F82" s="3" t="s">
        <v>15</v>
      </c>
      <c r="G82" s="4">
        <v>45004</v>
      </c>
      <c r="H82">
        <v>435</v>
      </c>
      <c r="I82">
        <v>327.8</v>
      </c>
      <c r="J82" s="3">
        <v>71.150000000000006</v>
      </c>
      <c r="K82" s="35">
        <f>Table3[[#This Row],[Units Sold]]*Table3[[#This Row],[Unit Price]]</f>
        <v>142593</v>
      </c>
      <c r="L82">
        <f t="shared" si="1"/>
        <v>111642.74999999999</v>
      </c>
    </row>
    <row r="83" spans="1:12">
      <c r="A83" s="3" t="s">
        <v>107</v>
      </c>
      <c r="B83" s="3" t="s">
        <v>11</v>
      </c>
      <c r="C83" s="3" t="s">
        <v>50</v>
      </c>
      <c r="D83" s="3" t="s">
        <v>27</v>
      </c>
      <c r="E83" s="3" t="s">
        <v>24</v>
      </c>
      <c r="F83" s="3" t="s">
        <v>15</v>
      </c>
      <c r="G83" s="4">
        <v>45005</v>
      </c>
      <c r="H83">
        <v>403</v>
      </c>
      <c r="I83">
        <v>159.51</v>
      </c>
      <c r="J83" s="3">
        <v>262.98</v>
      </c>
      <c r="K83" s="35">
        <f>Table3[[#This Row],[Units Sold]]*Table3[[#This Row],[Unit Price]]</f>
        <v>64282.53</v>
      </c>
      <c r="L83">
        <f t="shared" si="1"/>
        <v>-41698.410000000011</v>
      </c>
    </row>
    <row r="84" spans="1:12">
      <c r="A84" s="3" t="s">
        <v>108</v>
      </c>
      <c r="B84" s="3" t="s">
        <v>17</v>
      </c>
      <c r="C84" s="3" t="s">
        <v>50</v>
      </c>
      <c r="D84" s="3" t="s">
        <v>23</v>
      </c>
      <c r="E84" s="3" t="s">
        <v>14</v>
      </c>
      <c r="F84" s="3" t="s">
        <v>15</v>
      </c>
      <c r="G84" s="4">
        <v>45006</v>
      </c>
      <c r="H84">
        <v>169</v>
      </c>
      <c r="I84">
        <v>255.4</v>
      </c>
      <c r="J84" s="3">
        <v>339.51</v>
      </c>
      <c r="K84" s="35">
        <f>Table3[[#This Row],[Units Sold]]*Table3[[#This Row],[Unit Price]]</f>
        <v>43162.6</v>
      </c>
      <c r="L84">
        <f t="shared" si="1"/>
        <v>-14214.589999999998</v>
      </c>
    </row>
    <row r="85" spans="1:12">
      <c r="A85" s="3" t="s">
        <v>109</v>
      </c>
      <c r="B85" s="3" t="s">
        <v>11</v>
      </c>
      <c r="C85" s="3" t="s">
        <v>31</v>
      </c>
      <c r="D85" s="3" t="s">
        <v>13</v>
      </c>
      <c r="E85" s="3" t="s">
        <v>14</v>
      </c>
      <c r="F85" s="3" t="s">
        <v>20</v>
      </c>
      <c r="G85" s="4">
        <v>45007</v>
      </c>
      <c r="H85">
        <v>372</v>
      </c>
      <c r="I85">
        <v>429.7</v>
      </c>
      <c r="J85" s="3">
        <v>290.27999999999997</v>
      </c>
      <c r="K85" s="35">
        <f>Table3[[#This Row],[Units Sold]]*Table3[[#This Row],[Unit Price]]</f>
        <v>159848.4</v>
      </c>
      <c r="L85">
        <f t="shared" si="1"/>
        <v>51864.240000000005</v>
      </c>
    </row>
    <row r="86" spans="1:12">
      <c r="A86" s="3" t="s">
        <v>110</v>
      </c>
      <c r="B86" s="3" t="s">
        <v>17</v>
      </c>
      <c r="C86" s="3" t="s">
        <v>12</v>
      </c>
      <c r="D86" s="3" t="s">
        <v>42</v>
      </c>
      <c r="E86" s="3" t="s">
        <v>24</v>
      </c>
      <c r="F86" s="3" t="s">
        <v>28</v>
      </c>
      <c r="G86" s="4">
        <v>45008</v>
      </c>
      <c r="H86">
        <v>446</v>
      </c>
      <c r="I86">
        <v>9.4700000000000006</v>
      </c>
      <c r="J86" s="3">
        <v>317.25</v>
      </c>
      <c r="K86" s="35">
        <f>Table3[[#This Row],[Units Sold]]*Table3[[#This Row],[Unit Price]]</f>
        <v>4223.62</v>
      </c>
      <c r="L86">
        <f t="shared" si="1"/>
        <v>-137269.87999999998</v>
      </c>
    </row>
    <row r="87" spans="1:12">
      <c r="A87" s="3" t="s">
        <v>111</v>
      </c>
      <c r="B87" s="3" t="s">
        <v>22</v>
      </c>
      <c r="C87" s="3" t="s">
        <v>18</v>
      </c>
      <c r="D87" s="3" t="s">
        <v>27</v>
      </c>
      <c r="E87" s="3" t="s">
        <v>14</v>
      </c>
      <c r="F87" s="3" t="s">
        <v>15</v>
      </c>
      <c r="G87" s="4">
        <v>45009</v>
      </c>
      <c r="H87">
        <v>167</v>
      </c>
      <c r="I87">
        <v>296.26</v>
      </c>
      <c r="J87" s="3">
        <v>163.11000000000001</v>
      </c>
      <c r="K87" s="35">
        <f>Table3[[#This Row],[Units Sold]]*Table3[[#This Row],[Unit Price]]</f>
        <v>49475.42</v>
      </c>
      <c r="L87">
        <f t="shared" si="1"/>
        <v>22236.049999999996</v>
      </c>
    </row>
    <row r="88" spans="1:12">
      <c r="A88" s="3" t="s">
        <v>112</v>
      </c>
      <c r="B88" s="3" t="s">
        <v>17</v>
      </c>
      <c r="C88" s="3" t="s">
        <v>50</v>
      </c>
      <c r="D88" s="3" t="s">
        <v>27</v>
      </c>
      <c r="E88" s="3" t="s">
        <v>24</v>
      </c>
      <c r="F88" s="3" t="s">
        <v>15</v>
      </c>
      <c r="G88" s="4">
        <v>45010</v>
      </c>
      <c r="H88">
        <v>48</v>
      </c>
      <c r="I88">
        <v>301.36</v>
      </c>
      <c r="J88" s="3">
        <v>262.32</v>
      </c>
      <c r="K88" s="35">
        <f>Table3[[#This Row],[Units Sold]]*Table3[[#This Row],[Unit Price]]</f>
        <v>14465.28</v>
      </c>
      <c r="L88">
        <f t="shared" si="1"/>
        <v>1873.920000000001</v>
      </c>
    </row>
    <row r="89" spans="1:12">
      <c r="A89" s="3" t="s">
        <v>113</v>
      </c>
      <c r="B89" s="3" t="s">
        <v>11</v>
      </c>
      <c r="C89" s="3" t="s">
        <v>50</v>
      </c>
      <c r="D89" s="3" t="s">
        <v>27</v>
      </c>
      <c r="E89" s="3" t="s">
        <v>24</v>
      </c>
      <c r="F89" s="3" t="s">
        <v>28</v>
      </c>
      <c r="G89" s="4">
        <v>45011</v>
      </c>
      <c r="H89">
        <v>424</v>
      </c>
      <c r="I89">
        <v>201.35</v>
      </c>
      <c r="J89" s="3">
        <v>142.99</v>
      </c>
      <c r="K89" s="35">
        <f>Table3[[#This Row],[Units Sold]]*Table3[[#This Row],[Unit Price]]</f>
        <v>85372.4</v>
      </c>
      <c r="L89">
        <f t="shared" si="1"/>
        <v>24744.639999999992</v>
      </c>
    </row>
    <row r="90" spans="1:12">
      <c r="A90" s="3" t="s">
        <v>114</v>
      </c>
      <c r="B90" s="3" t="s">
        <v>11</v>
      </c>
      <c r="C90" s="3" t="s">
        <v>18</v>
      </c>
      <c r="D90" s="3" t="s">
        <v>23</v>
      </c>
      <c r="E90" s="3" t="s">
        <v>14</v>
      </c>
      <c r="F90" s="3" t="s">
        <v>15</v>
      </c>
      <c r="G90" s="4">
        <v>45012</v>
      </c>
      <c r="H90">
        <v>91</v>
      </c>
      <c r="I90">
        <v>122.33</v>
      </c>
      <c r="J90" s="3">
        <v>211.15</v>
      </c>
      <c r="K90" s="35">
        <f>Table3[[#This Row],[Units Sold]]*Table3[[#This Row],[Unit Price]]</f>
        <v>11132.03</v>
      </c>
      <c r="L90">
        <f t="shared" si="1"/>
        <v>-8082.6200000000008</v>
      </c>
    </row>
    <row r="91" spans="1:12">
      <c r="A91" s="3" t="s">
        <v>115</v>
      </c>
      <c r="B91" s="3" t="s">
        <v>48</v>
      </c>
      <c r="C91" s="3" t="s">
        <v>50</v>
      </c>
      <c r="D91" s="3" t="s">
        <v>13</v>
      </c>
      <c r="E91" s="3" t="s">
        <v>14</v>
      </c>
      <c r="F91" s="3" t="s">
        <v>28</v>
      </c>
      <c r="G91" s="4">
        <v>45013</v>
      </c>
      <c r="H91">
        <v>365</v>
      </c>
      <c r="I91">
        <v>121.16</v>
      </c>
      <c r="J91" s="3">
        <v>193.69</v>
      </c>
      <c r="K91" s="35">
        <f>Table3[[#This Row],[Units Sold]]*Table3[[#This Row],[Unit Price]]</f>
        <v>44223.4</v>
      </c>
      <c r="L91">
        <f t="shared" si="1"/>
        <v>-26473.45</v>
      </c>
    </row>
    <row r="92" spans="1:12">
      <c r="A92" s="3" t="s">
        <v>116</v>
      </c>
      <c r="B92" s="3" t="s">
        <v>22</v>
      </c>
      <c r="C92" s="3" t="s">
        <v>31</v>
      </c>
      <c r="D92" s="3" t="s">
        <v>13</v>
      </c>
      <c r="E92" s="3" t="s">
        <v>14</v>
      </c>
      <c r="F92" s="3" t="s">
        <v>28</v>
      </c>
      <c r="G92" s="4">
        <v>45014</v>
      </c>
      <c r="H92">
        <v>267</v>
      </c>
      <c r="I92">
        <v>442.44</v>
      </c>
      <c r="J92" s="3">
        <v>72.400000000000006</v>
      </c>
      <c r="K92" s="35">
        <f>Table3[[#This Row],[Units Sold]]*Table3[[#This Row],[Unit Price]]</f>
        <v>118131.48</v>
      </c>
      <c r="L92">
        <f t="shared" si="1"/>
        <v>98800.68</v>
      </c>
    </row>
    <row r="93" spans="1:12">
      <c r="A93" s="3" t="s">
        <v>117</v>
      </c>
      <c r="B93" s="3" t="s">
        <v>17</v>
      </c>
      <c r="C93" s="3" t="s">
        <v>12</v>
      </c>
      <c r="D93" s="3" t="s">
        <v>42</v>
      </c>
      <c r="E93" s="3" t="s">
        <v>24</v>
      </c>
      <c r="F93" s="3" t="s">
        <v>28</v>
      </c>
      <c r="G93" s="4">
        <v>45015</v>
      </c>
      <c r="H93">
        <v>215</v>
      </c>
      <c r="I93">
        <v>223.8</v>
      </c>
      <c r="J93" s="3">
        <v>156.06</v>
      </c>
      <c r="K93" s="35">
        <f>Table3[[#This Row],[Units Sold]]*Table3[[#This Row],[Unit Price]]</f>
        <v>48117</v>
      </c>
      <c r="L93">
        <f t="shared" si="1"/>
        <v>14564.100000000002</v>
      </c>
    </row>
    <row r="94" spans="1:12">
      <c r="A94" s="3" t="s">
        <v>118</v>
      </c>
      <c r="B94" s="3" t="s">
        <v>48</v>
      </c>
      <c r="C94" s="3" t="s">
        <v>18</v>
      </c>
      <c r="D94" s="3" t="s">
        <v>42</v>
      </c>
      <c r="E94" s="3" t="s">
        <v>14</v>
      </c>
      <c r="F94" s="3" t="s">
        <v>28</v>
      </c>
      <c r="G94" s="4">
        <v>45016</v>
      </c>
      <c r="H94">
        <v>86</v>
      </c>
      <c r="I94">
        <v>168.79</v>
      </c>
      <c r="J94" s="3">
        <v>385.6</v>
      </c>
      <c r="K94" s="35">
        <f>Table3[[#This Row],[Units Sold]]*Table3[[#This Row],[Unit Price]]</f>
        <v>14515.939999999999</v>
      </c>
      <c r="L94">
        <f t="shared" si="1"/>
        <v>-18645.660000000003</v>
      </c>
    </row>
    <row r="95" spans="1:12">
      <c r="A95" s="3" t="s">
        <v>119</v>
      </c>
      <c r="B95" s="3" t="s">
        <v>17</v>
      </c>
      <c r="C95" s="3" t="s">
        <v>12</v>
      </c>
      <c r="D95" s="3" t="s">
        <v>27</v>
      </c>
      <c r="E95" s="3" t="s">
        <v>24</v>
      </c>
      <c r="F95" s="3" t="s">
        <v>28</v>
      </c>
      <c r="G95" s="4">
        <v>45017</v>
      </c>
      <c r="H95">
        <v>486</v>
      </c>
      <c r="I95">
        <v>227.14</v>
      </c>
      <c r="J95" s="3">
        <v>100.93</v>
      </c>
      <c r="K95" s="35">
        <f>Table3[[#This Row],[Units Sold]]*Table3[[#This Row],[Unit Price]]</f>
        <v>110390.04</v>
      </c>
      <c r="L95">
        <f t="shared" si="1"/>
        <v>61338.05999999999</v>
      </c>
    </row>
    <row r="96" spans="1:12">
      <c r="A96" s="3" t="s">
        <v>120</v>
      </c>
      <c r="B96" s="3" t="s">
        <v>17</v>
      </c>
      <c r="C96" s="3" t="s">
        <v>50</v>
      </c>
      <c r="D96" s="3" t="s">
        <v>42</v>
      </c>
      <c r="E96" s="3" t="s">
        <v>24</v>
      </c>
      <c r="F96" s="3" t="s">
        <v>20</v>
      </c>
      <c r="G96" s="4">
        <v>45018</v>
      </c>
      <c r="H96">
        <v>21</v>
      </c>
      <c r="I96">
        <v>255.4</v>
      </c>
      <c r="J96" s="3">
        <v>55.25</v>
      </c>
      <c r="K96" s="35">
        <f>Table3[[#This Row],[Units Sold]]*Table3[[#This Row],[Unit Price]]</f>
        <v>5363.4000000000005</v>
      </c>
      <c r="L96">
        <f t="shared" si="1"/>
        <v>4203.1500000000005</v>
      </c>
    </row>
    <row r="97" spans="1:12">
      <c r="A97" s="3" t="s">
        <v>121</v>
      </c>
      <c r="B97" s="3" t="s">
        <v>48</v>
      </c>
      <c r="C97" s="3" t="s">
        <v>50</v>
      </c>
      <c r="D97" s="3" t="s">
        <v>23</v>
      </c>
      <c r="E97" s="3" t="s">
        <v>24</v>
      </c>
      <c r="F97" s="3" t="s">
        <v>15</v>
      </c>
      <c r="G97" s="4">
        <v>45019</v>
      </c>
      <c r="H97">
        <v>304</v>
      </c>
      <c r="I97">
        <v>77.150000000000006</v>
      </c>
      <c r="J97" s="3">
        <v>168.6</v>
      </c>
      <c r="K97" s="35">
        <f>Table3[[#This Row],[Units Sold]]*Table3[[#This Row],[Unit Price]]</f>
        <v>23453.600000000002</v>
      </c>
      <c r="L97">
        <f t="shared" si="1"/>
        <v>-27800.799999999996</v>
      </c>
    </row>
    <row r="98" spans="1:12">
      <c r="A98" s="3" t="s">
        <v>122</v>
      </c>
      <c r="B98" s="3" t="s">
        <v>48</v>
      </c>
      <c r="C98" s="3" t="s">
        <v>18</v>
      </c>
      <c r="D98" s="3" t="s">
        <v>13</v>
      </c>
      <c r="E98" s="3" t="s">
        <v>14</v>
      </c>
      <c r="F98" s="3" t="s">
        <v>20</v>
      </c>
      <c r="G98" s="4">
        <v>45020</v>
      </c>
      <c r="H98">
        <v>459</v>
      </c>
      <c r="I98">
        <v>227.47</v>
      </c>
      <c r="J98" s="3">
        <v>316.55</v>
      </c>
      <c r="K98" s="35">
        <f>Table3[[#This Row],[Units Sold]]*Table3[[#This Row],[Unit Price]]</f>
        <v>104408.73</v>
      </c>
      <c r="L98">
        <f t="shared" si="1"/>
        <v>-40887.720000000008</v>
      </c>
    </row>
    <row r="99" spans="1:12">
      <c r="A99" s="3" t="s">
        <v>123</v>
      </c>
      <c r="B99" s="3" t="s">
        <v>48</v>
      </c>
      <c r="C99" s="3" t="s">
        <v>31</v>
      </c>
      <c r="D99" s="3" t="s">
        <v>27</v>
      </c>
      <c r="E99" s="3" t="s">
        <v>14</v>
      </c>
      <c r="F99" s="3" t="s">
        <v>15</v>
      </c>
      <c r="G99" s="4">
        <v>45021</v>
      </c>
      <c r="H99">
        <v>233</v>
      </c>
      <c r="I99">
        <v>296</v>
      </c>
      <c r="J99" s="3">
        <v>233.69</v>
      </c>
      <c r="K99" s="35">
        <f>Table3[[#This Row],[Units Sold]]*Table3[[#This Row],[Unit Price]]</f>
        <v>68968</v>
      </c>
      <c r="L99">
        <f t="shared" si="1"/>
        <v>14518.230000000001</v>
      </c>
    </row>
    <row r="100" spans="1:12">
      <c r="A100" s="3" t="s">
        <v>124</v>
      </c>
      <c r="B100" s="3" t="s">
        <v>48</v>
      </c>
      <c r="C100" s="3" t="s">
        <v>26</v>
      </c>
      <c r="D100" s="3" t="s">
        <v>42</v>
      </c>
      <c r="E100" s="3" t="s">
        <v>24</v>
      </c>
      <c r="F100" s="3" t="s">
        <v>20</v>
      </c>
      <c r="G100" s="4">
        <v>45022</v>
      </c>
      <c r="H100">
        <v>22</v>
      </c>
      <c r="I100">
        <v>474.55</v>
      </c>
      <c r="J100" s="3">
        <v>273.02999999999997</v>
      </c>
      <c r="K100" s="35">
        <f>Table3[[#This Row],[Units Sold]]*Table3[[#This Row],[Unit Price]]</f>
        <v>10440.1</v>
      </c>
      <c r="L100">
        <f t="shared" si="1"/>
        <v>4433.4400000000005</v>
      </c>
    </row>
    <row r="101" spans="1:12">
      <c r="A101" s="3" t="s">
        <v>125</v>
      </c>
      <c r="B101" s="3" t="s">
        <v>48</v>
      </c>
      <c r="C101" s="3" t="s">
        <v>18</v>
      </c>
      <c r="D101" s="3" t="s">
        <v>23</v>
      </c>
      <c r="E101" s="3" t="s">
        <v>14</v>
      </c>
      <c r="F101" s="3" t="s">
        <v>28</v>
      </c>
      <c r="G101" s="4">
        <v>45023</v>
      </c>
      <c r="H101">
        <v>55</v>
      </c>
      <c r="I101">
        <v>130</v>
      </c>
      <c r="J101" s="3">
        <v>77.5</v>
      </c>
      <c r="K101" s="35">
        <f>Table3[[#This Row],[Units Sold]]*Table3[[#This Row],[Unit Price]]</f>
        <v>7150</v>
      </c>
      <c r="L101">
        <f t="shared" si="1"/>
        <v>2887.5</v>
      </c>
    </row>
    <row r="102" spans="1:12">
      <c r="A102" s="3" t="s">
        <v>126</v>
      </c>
      <c r="B102" s="3" t="s">
        <v>17</v>
      </c>
      <c r="C102" s="3" t="s">
        <v>26</v>
      </c>
      <c r="D102" s="3" t="s">
        <v>23</v>
      </c>
      <c r="E102" s="3" t="s">
        <v>14</v>
      </c>
      <c r="F102" s="3" t="s">
        <v>15</v>
      </c>
      <c r="G102" s="4">
        <v>45024</v>
      </c>
      <c r="H102">
        <v>164</v>
      </c>
      <c r="I102">
        <v>182.83</v>
      </c>
      <c r="J102" s="3">
        <v>248.34</v>
      </c>
      <c r="K102" s="35">
        <f>Table3[[#This Row],[Units Sold]]*Table3[[#This Row],[Unit Price]]</f>
        <v>29984.120000000003</v>
      </c>
      <c r="L102">
        <f t="shared" si="1"/>
        <v>-10743.64</v>
      </c>
    </row>
    <row r="103" spans="1:12">
      <c r="A103" s="3" t="s">
        <v>127</v>
      </c>
      <c r="B103" s="3" t="s">
        <v>48</v>
      </c>
      <c r="C103" s="3" t="s">
        <v>26</v>
      </c>
      <c r="D103" s="3" t="s">
        <v>42</v>
      </c>
      <c r="E103" s="3" t="s">
        <v>14</v>
      </c>
      <c r="F103" s="3" t="s">
        <v>15</v>
      </c>
      <c r="G103" s="4">
        <v>45025</v>
      </c>
      <c r="H103">
        <v>122</v>
      </c>
      <c r="I103">
        <v>192.78</v>
      </c>
      <c r="J103" s="3">
        <v>130.75</v>
      </c>
      <c r="K103" s="35">
        <f>Table3[[#This Row],[Units Sold]]*Table3[[#This Row],[Unit Price]]</f>
        <v>23519.16</v>
      </c>
      <c r="L103">
        <f t="shared" si="1"/>
        <v>7567.66</v>
      </c>
    </row>
    <row r="104" spans="1:12">
      <c r="A104" s="3" t="s">
        <v>128</v>
      </c>
      <c r="B104" s="3" t="s">
        <v>22</v>
      </c>
      <c r="C104" s="3" t="s">
        <v>31</v>
      </c>
      <c r="D104" s="3" t="s">
        <v>13</v>
      </c>
      <c r="E104" s="3" t="s">
        <v>24</v>
      </c>
      <c r="F104" s="3" t="s">
        <v>20</v>
      </c>
      <c r="G104" s="4">
        <v>45026</v>
      </c>
      <c r="H104">
        <v>242</v>
      </c>
      <c r="I104">
        <v>304.74</v>
      </c>
      <c r="J104" s="3">
        <v>334.05</v>
      </c>
      <c r="K104" s="35">
        <f>Table3[[#This Row],[Units Sold]]*Table3[[#This Row],[Unit Price]]</f>
        <v>73747.08</v>
      </c>
      <c r="L104">
        <f t="shared" si="1"/>
        <v>-7093.02</v>
      </c>
    </row>
    <row r="105" spans="1:12">
      <c r="A105" s="3" t="s">
        <v>129</v>
      </c>
      <c r="B105" s="3" t="s">
        <v>11</v>
      </c>
      <c r="C105" s="3" t="s">
        <v>26</v>
      </c>
      <c r="D105" s="3" t="s">
        <v>42</v>
      </c>
      <c r="E105" s="3" t="s">
        <v>24</v>
      </c>
      <c r="F105" s="3" t="s">
        <v>20</v>
      </c>
      <c r="G105" s="4">
        <v>45027</v>
      </c>
      <c r="H105">
        <v>26</v>
      </c>
      <c r="I105">
        <v>181.58</v>
      </c>
      <c r="J105" s="3">
        <v>252.46</v>
      </c>
      <c r="K105" s="35">
        <f>Table3[[#This Row],[Units Sold]]*Table3[[#This Row],[Unit Price]]</f>
        <v>4721.08</v>
      </c>
      <c r="L105">
        <f t="shared" si="1"/>
        <v>-1842.8799999999999</v>
      </c>
    </row>
    <row r="106" spans="1:12">
      <c r="A106" s="3" t="s">
        <v>130</v>
      </c>
      <c r="B106" s="3" t="s">
        <v>48</v>
      </c>
      <c r="C106" s="3" t="s">
        <v>26</v>
      </c>
      <c r="D106" s="3" t="s">
        <v>27</v>
      </c>
      <c r="E106" s="3" t="s">
        <v>14</v>
      </c>
      <c r="F106" s="3" t="s">
        <v>15</v>
      </c>
      <c r="G106" s="4">
        <v>45028</v>
      </c>
      <c r="H106">
        <v>369</v>
      </c>
      <c r="I106">
        <v>269.08999999999997</v>
      </c>
      <c r="J106" s="3">
        <v>81.14</v>
      </c>
      <c r="K106" s="35">
        <f>Table3[[#This Row],[Units Sold]]*Table3[[#This Row],[Unit Price]]</f>
        <v>99294.209999999992</v>
      </c>
      <c r="L106">
        <f t="shared" si="1"/>
        <v>69353.55</v>
      </c>
    </row>
    <row r="107" spans="1:12">
      <c r="A107" s="3" t="s">
        <v>131</v>
      </c>
      <c r="B107" s="3" t="s">
        <v>48</v>
      </c>
      <c r="C107" s="3" t="s">
        <v>31</v>
      </c>
      <c r="D107" s="3" t="s">
        <v>42</v>
      </c>
      <c r="E107" s="3" t="s">
        <v>24</v>
      </c>
      <c r="F107" s="3" t="s">
        <v>20</v>
      </c>
      <c r="G107" s="4">
        <v>45029</v>
      </c>
      <c r="H107">
        <v>232</v>
      </c>
      <c r="I107">
        <v>391.99</v>
      </c>
      <c r="J107" s="3">
        <v>27.72</v>
      </c>
      <c r="K107" s="35">
        <f>Table3[[#This Row],[Units Sold]]*Table3[[#This Row],[Unit Price]]</f>
        <v>90941.680000000008</v>
      </c>
      <c r="L107">
        <f t="shared" si="1"/>
        <v>84510.64</v>
      </c>
    </row>
    <row r="108" spans="1:12">
      <c r="A108" s="3" t="s">
        <v>132</v>
      </c>
      <c r="B108" s="3" t="s">
        <v>17</v>
      </c>
      <c r="C108" s="3" t="s">
        <v>26</v>
      </c>
      <c r="D108" s="3" t="s">
        <v>23</v>
      </c>
      <c r="E108" s="3" t="s">
        <v>14</v>
      </c>
      <c r="F108" s="3" t="s">
        <v>20</v>
      </c>
      <c r="G108" s="4">
        <v>45030</v>
      </c>
      <c r="H108">
        <v>363</v>
      </c>
      <c r="I108">
        <v>354.17</v>
      </c>
      <c r="J108" s="3">
        <v>18.97</v>
      </c>
      <c r="K108" s="35">
        <f>Table3[[#This Row],[Units Sold]]*Table3[[#This Row],[Unit Price]]</f>
        <v>128563.71</v>
      </c>
      <c r="L108">
        <f t="shared" si="1"/>
        <v>121677.60000000002</v>
      </c>
    </row>
    <row r="109" spans="1:12">
      <c r="A109" s="3" t="s">
        <v>133</v>
      </c>
      <c r="B109" s="3" t="s">
        <v>48</v>
      </c>
      <c r="C109" s="3" t="s">
        <v>26</v>
      </c>
      <c r="D109" s="3" t="s">
        <v>42</v>
      </c>
      <c r="E109" s="3" t="s">
        <v>14</v>
      </c>
      <c r="F109" s="3" t="s">
        <v>20</v>
      </c>
      <c r="G109" s="4">
        <v>45031</v>
      </c>
      <c r="H109">
        <v>197</v>
      </c>
      <c r="I109">
        <v>225.95</v>
      </c>
      <c r="J109" s="3">
        <v>149.82</v>
      </c>
      <c r="K109" s="35">
        <f>Table3[[#This Row],[Units Sold]]*Table3[[#This Row],[Unit Price]]</f>
        <v>44512.149999999994</v>
      </c>
      <c r="L109">
        <f t="shared" si="1"/>
        <v>14997.609999999999</v>
      </c>
    </row>
    <row r="110" spans="1:12">
      <c r="A110" s="3" t="s">
        <v>134</v>
      </c>
      <c r="B110" s="3" t="s">
        <v>48</v>
      </c>
      <c r="C110" s="3" t="s">
        <v>26</v>
      </c>
      <c r="D110" s="3" t="s">
        <v>13</v>
      </c>
      <c r="E110" s="3" t="s">
        <v>14</v>
      </c>
      <c r="F110" s="3" t="s">
        <v>28</v>
      </c>
      <c r="G110" s="4">
        <v>45032</v>
      </c>
      <c r="H110">
        <v>457</v>
      </c>
      <c r="I110">
        <v>432.79</v>
      </c>
      <c r="J110" s="3">
        <v>107.81</v>
      </c>
      <c r="K110" s="35">
        <f>Table3[[#This Row],[Units Sold]]*Table3[[#This Row],[Unit Price]]</f>
        <v>197785.03</v>
      </c>
      <c r="L110">
        <f t="shared" si="1"/>
        <v>148515.86000000002</v>
      </c>
    </row>
    <row r="111" spans="1:12">
      <c r="A111" s="3" t="s">
        <v>135</v>
      </c>
      <c r="B111" s="3" t="s">
        <v>48</v>
      </c>
      <c r="C111" s="3" t="s">
        <v>18</v>
      </c>
      <c r="D111" s="3" t="s">
        <v>19</v>
      </c>
      <c r="E111" s="3" t="s">
        <v>14</v>
      </c>
      <c r="F111" s="3" t="s">
        <v>28</v>
      </c>
      <c r="G111" s="4">
        <v>45033</v>
      </c>
      <c r="H111">
        <v>353</v>
      </c>
      <c r="I111">
        <v>281.27999999999997</v>
      </c>
      <c r="J111" s="3">
        <v>259.14</v>
      </c>
      <c r="K111" s="35">
        <f>Table3[[#This Row],[Units Sold]]*Table3[[#This Row],[Unit Price]]</f>
        <v>99291.839999999997</v>
      </c>
      <c r="L111">
        <f t="shared" si="1"/>
        <v>7815.4199999999955</v>
      </c>
    </row>
    <row r="112" spans="1:12">
      <c r="A112" s="3" t="s">
        <v>136</v>
      </c>
      <c r="B112" s="3" t="s">
        <v>17</v>
      </c>
      <c r="C112" s="3" t="s">
        <v>18</v>
      </c>
      <c r="D112" s="3" t="s">
        <v>42</v>
      </c>
      <c r="E112" s="3" t="s">
        <v>24</v>
      </c>
      <c r="F112" s="3" t="s">
        <v>20</v>
      </c>
      <c r="G112" s="4">
        <v>45034</v>
      </c>
      <c r="H112">
        <v>374</v>
      </c>
      <c r="I112">
        <v>272.25</v>
      </c>
      <c r="J112" s="3">
        <v>200.73</v>
      </c>
      <c r="K112" s="35">
        <f>Table3[[#This Row],[Units Sold]]*Table3[[#This Row],[Unit Price]]</f>
        <v>101821.5</v>
      </c>
      <c r="L112">
        <f t="shared" si="1"/>
        <v>26748.480000000003</v>
      </c>
    </row>
    <row r="113" spans="1:12">
      <c r="A113" s="3" t="s">
        <v>137</v>
      </c>
      <c r="B113" s="3" t="s">
        <v>48</v>
      </c>
      <c r="C113" s="3" t="s">
        <v>18</v>
      </c>
      <c r="D113" s="3" t="s">
        <v>13</v>
      </c>
      <c r="E113" s="3" t="s">
        <v>24</v>
      </c>
      <c r="F113" s="3" t="s">
        <v>20</v>
      </c>
      <c r="G113" s="4">
        <v>45035</v>
      </c>
      <c r="H113">
        <v>172</v>
      </c>
      <c r="I113">
        <v>21.92</v>
      </c>
      <c r="J113" s="3">
        <v>107.88</v>
      </c>
      <c r="K113" s="35">
        <f>Table3[[#This Row],[Units Sold]]*Table3[[#This Row],[Unit Price]]</f>
        <v>3770.2400000000002</v>
      </c>
      <c r="L113">
        <f t="shared" si="1"/>
        <v>-14785.119999999999</v>
      </c>
    </row>
    <row r="114" spans="1:12">
      <c r="A114" s="3" t="s">
        <v>138</v>
      </c>
      <c r="B114" s="3" t="s">
        <v>11</v>
      </c>
      <c r="C114" s="3" t="s">
        <v>31</v>
      </c>
      <c r="D114" s="3" t="s">
        <v>13</v>
      </c>
      <c r="E114" s="3" t="s">
        <v>24</v>
      </c>
      <c r="F114" s="3" t="s">
        <v>28</v>
      </c>
      <c r="G114" s="4">
        <v>45036</v>
      </c>
      <c r="H114">
        <v>335</v>
      </c>
      <c r="I114">
        <v>493.41</v>
      </c>
      <c r="J114" s="3">
        <v>61.4</v>
      </c>
      <c r="K114" s="35">
        <f>Table3[[#This Row],[Units Sold]]*Table3[[#This Row],[Unit Price]]</f>
        <v>165292.35</v>
      </c>
      <c r="L114">
        <f t="shared" si="1"/>
        <v>144723.35</v>
      </c>
    </row>
    <row r="115" spans="1:12">
      <c r="A115" s="3" t="s">
        <v>139</v>
      </c>
      <c r="B115" s="3" t="s">
        <v>17</v>
      </c>
      <c r="C115" s="3" t="s">
        <v>50</v>
      </c>
      <c r="D115" s="3" t="s">
        <v>23</v>
      </c>
      <c r="E115" s="3" t="s">
        <v>14</v>
      </c>
      <c r="F115" s="3" t="s">
        <v>28</v>
      </c>
      <c r="G115" s="4">
        <v>45037</v>
      </c>
      <c r="H115">
        <v>476</v>
      </c>
      <c r="I115">
        <v>65.87</v>
      </c>
      <c r="J115" s="3">
        <v>52.63</v>
      </c>
      <c r="K115" s="35">
        <f>Table3[[#This Row],[Units Sold]]*Table3[[#This Row],[Unit Price]]</f>
        <v>31354.120000000003</v>
      </c>
      <c r="L115">
        <f t="shared" si="1"/>
        <v>6302.2400000000007</v>
      </c>
    </row>
    <row r="116" spans="1:12">
      <c r="A116" s="3" t="s">
        <v>140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15</v>
      </c>
      <c r="G116" s="4">
        <v>45038</v>
      </c>
      <c r="H116">
        <v>423</v>
      </c>
      <c r="I116">
        <v>119.41</v>
      </c>
      <c r="J116" s="3">
        <v>346.13</v>
      </c>
      <c r="K116" s="35">
        <f>Table3[[#This Row],[Units Sold]]*Table3[[#This Row],[Unit Price]]</f>
        <v>50510.43</v>
      </c>
      <c r="L116">
        <f t="shared" si="1"/>
        <v>-95902.56</v>
      </c>
    </row>
    <row r="117" spans="1:12">
      <c r="A117" s="3" t="s">
        <v>141</v>
      </c>
      <c r="B117" s="3" t="s">
        <v>17</v>
      </c>
      <c r="C117" s="3" t="s">
        <v>26</v>
      </c>
      <c r="D117" s="3" t="s">
        <v>13</v>
      </c>
      <c r="E117" s="3" t="s">
        <v>14</v>
      </c>
      <c r="F117" s="3" t="s">
        <v>15</v>
      </c>
      <c r="G117" s="4">
        <v>45039</v>
      </c>
      <c r="H117">
        <v>464</v>
      </c>
      <c r="I117">
        <v>30.59</v>
      </c>
      <c r="J117" s="3">
        <v>98.9</v>
      </c>
      <c r="K117" s="35">
        <f>Table3[[#This Row],[Units Sold]]*Table3[[#This Row],[Unit Price]]</f>
        <v>14193.76</v>
      </c>
      <c r="L117">
        <f t="shared" si="1"/>
        <v>-31695.84</v>
      </c>
    </row>
    <row r="118" spans="1:12">
      <c r="A118" s="3" t="s">
        <v>142</v>
      </c>
      <c r="B118" s="3" t="s">
        <v>48</v>
      </c>
      <c r="C118" s="3" t="s">
        <v>31</v>
      </c>
      <c r="D118" s="3" t="s">
        <v>13</v>
      </c>
      <c r="E118" s="3" t="s">
        <v>24</v>
      </c>
      <c r="F118" s="3" t="s">
        <v>28</v>
      </c>
      <c r="G118" s="4">
        <v>45040</v>
      </c>
      <c r="H118">
        <v>83</v>
      </c>
      <c r="I118">
        <v>321.8</v>
      </c>
      <c r="J118" s="3">
        <v>261.38</v>
      </c>
      <c r="K118" s="35">
        <f>Table3[[#This Row],[Units Sold]]*Table3[[#This Row],[Unit Price]]</f>
        <v>26709.4</v>
      </c>
      <c r="L118">
        <f t="shared" si="1"/>
        <v>5014.8600000000015</v>
      </c>
    </row>
    <row r="119" spans="1:12">
      <c r="A119" s="3" t="s">
        <v>143</v>
      </c>
      <c r="B119" s="3" t="s">
        <v>11</v>
      </c>
      <c r="C119" s="3" t="s">
        <v>26</v>
      </c>
      <c r="D119" s="3" t="s">
        <v>13</v>
      </c>
      <c r="E119" s="3" t="s">
        <v>14</v>
      </c>
      <c r="F119" s="3" t="s">
        <v>20</v>
      </c>
      <c r="G119" s="4">
        <v>45041</v>
      </c>
      <c r="H119">
        <v>242</v>
      </c>
      <c r="I119">
        <v>116.23</v>
      </c>
      <c r="J119" s="3">
        <v>324.64999999999998</v>
      </c>
      <c r="K119" s="35">
        <f>Table3[[#This Row],[Units Sold]]*Table3[[#This Row],[Unit Price]]</f>
        <v>28127.66</v>
      </c>
      <c r="L119">
        <f t="shared" si="1"/>
        <v>-50437.639999999992</v>
      </c>
    </row>
    <row r="120" spans="1:12">
      <c r="A120" s="3" t="s">
        <v>144</v>
      </c>
      <c r="B120" s="3" t="s">
        <v>17</v>
      </c>
      <c r="C120" s="3" t="s">
        <v>18</v>
      </c>
      <c r="D120" s="3" t="s">
        <v>27</v>
      </c>
      <c r="E120" s="3" t="s">
        <v>24</v>
      </c>
      <c r="F120" s="3" t="s">
        <v>20</v>
      </c>
      <c r="G120" s="4">
        <v>45042</v>
      </c>
      <c r="H120">
        <v>233</v>
      </c>
      <c r="I120">
        <v>94.11</v>
      </c>
      <c r="J120" s="3">
        <v>246.4</v>
      </c>
      <c r="K120" s="35">
        <f>Table3[[#This Row],[Units Sold]]*Table3[[#This Row],[Unit Price]]</f>
        <v>21927.63</v>
      </c>
      <c r="L120">
        <f t="shared" si="1"/>
        <v>-35483.570000000007</v>
      </c>
    </row>
    <row r="121" spans="1:12">
      <c r="A121" s="3" t="s">
        <v>145</v>
      </c>
      <c r="B121" s="3" t="s">
        <v>22</v>
      </c>
      <c r="C121" s="3" t="s">
        <v>50</v>
      </c>
      <c r="D121" s="3" t="s">
        <v>27</v>
      </c>
      <c r="E121" s="3" t="s">
        <v>24</v>
      </c>
      <c r="F121" s="3" t="s">
        <v>20</v>
      </c>
      <c r="G121" s="4">
        <v>45043</v>
      </c>
      <c r="H121">
        <v>491</v>
      </c>
      <c r="I121">
        <v>48.84</v>
      </c>
      <c r="J121" s="3">
        <v>344.11</v>
      </c>
      <c r="K121" s="35">
        <f>Table3[[#This Row],[Units Sold]]*Table3[[#This Row],[Unit Price]]</f>
        <v>23980.440000000002</v>
      </c>
      <c r="L121">
        <f t="shared" si="1"/>
        <v>-144977.56999999998</v>
      </c>
    </row>
    <row r="122" spans="1:12">
      <c r="A122" s="3" t="s">
        <v>146</v>
      </c>
      <c r="C122" s="3" t="s">
        <v>12</v>
      </c>
      <c r="D122" s="3" t="s">
        <v>23</v>
      </c>
      <c r="E122" s="3" t="s">
        <v>24</v>
      </c>
      <c r="F122" s="3" t="s">
        <v>20</v>
      </c>
      <c r="G122" s="4">
        <v>45044</v>
      </c>
      <c r="H122">
        <v>328</v>
      </c>
      <c r="I122">
        <v>56.14</v>
      </c>
      <c r="J122" s="3">
        <v>158.16999999999999</v>
      </c>
      <c r="K122" s="35">
        <f>Table3[[#This Row],[Units Sold]]*Table3[[#This Row],[Unit Price]]</f>
        <v>18413.920000000002</v>
      </c>
      <c r="L122">
        <f t="shared" si="1"/>
        <v>-33465.839999999997</v>
      </c>
    </row>
    <row r="123" spans="1:12">
      <c r="A123" s="3" t="s">
        <v>147</v>
      </c>
      <c r="B123" s="3" t="s">
        <v>17</v>
      </c>
      <c r="C123" s="3" t="s">
        <v>26</v>
      </c>
      <c r="D123" s="3" t="s">
        <v>42</v>
      </c>
      <c r="E123" s="3" t="s">
        <v>24</v>
      </c>
      <c r="F123" s="3" t="s">
        <v>15</v>
      </c>
      <c r="G123" s="4">
        <v>45045</v>
      </c>
      <c r="H123">
        <v>421</v>
      </c>
      <c r="I123">
        <v>294.41000000000003</v>
      </c>
      <c r="J123" s="3">
        <v>382.58</v>
      </c>
      <c r="K123" s="35">
        <f>Table3[[#This Row],[Units Sold]]*Table3[[#This Row],[Unit Price]]</f>
        <v>123946.61000000002</v>
      </c>
      <c r="L123">
        <f t="shared" si="1"/>
        <v>-37119.569999999985</v>
      </c>
    </row>
    <row r="124" spans="1:12">
      <c r="A124" s="3" t="s">
        <v>148</v>
      </c>
      <c r="B124" s="3" t="s">
        <v>22</v>
      </c>
      <c r="C124" s="3" t="s">
        <v>18</v>
      </c>
      <c r="D124" s="3" t="s">
        <v>13</v>
      </c>
      <c r="E124" s="3" t="s">
        <v>24</v>
      </c>
      <c r="F124" s="3" t="s">
        <v>28</v>
      </c>
      <c r="G124" s="4">
        <v>45046</v>
      </c>
      <c r="H124">
        <v>69</v>
      </c>
      <c r="I124">
        <v>345.66</v>
      </c>
      <c r="J124" s="3">
        <v>54.99</v>
      </c>
      <c r="K124" s="35">
        <f>Table3[[#This Row],[Units Sold]]*Table3[[#This Row],[Unit Price]]</f>
        <v>23850.54</v>
      </c>
      <c r="L124">
        <f t="shared" si="1"/>
        <v>20056.23</v>
      </c>
    </row>
    <row r="125" spans="1:12">
      <c r="A125" s="3" t="s">
        <v>149</v>
      </c>
      <c r="B125" s="3" t="s">
        <v>17</v>
      </c>
      <c r="C125" s="3" t="s">
        <v>12</v>
      </c>
      <c r="D125" s="3" t="s">
        <v>42</v>
      </c>
      <c r="E125" s="3" t="s">
        <v>24</v>
      </c>
      <c r="F125" s="3" t="s">
        <v>20</v>
      </c>
      <c r="G125" s="4">
        <v>45047</v>
      </c>
      <c r="H125">
        <v>344</v>
      </c>
      <c r="I125">
        <v>201.7</v>
      </c>
      <c r="J125" s="3">
        <v>42.66</v>
      </c>
      <c r="K125" s="35">
        <f>Table3[[#This Row],[Units Sold]]*Table3[[#This Row],[Unit Price]]</f>
        <v>69384.800000000003</v>
      </c>
      <c r="L125">
        <f t="shared" si="1"/>
        <v>54709.759999999995</v>
      </c>
    </row>
    <row r="126" spans="1:12">
      <c r="A126" s="3" t="s">
        <v>150</v>
      </c>
      <c r="C126" s="3" t="s">
        <v>50</v>
      </c>
      <c r="D126" s="3" t="s">
        <v>42</v>
      </c>
      <c r="E126" s="3" t="s">
        <v>14</v>
      </c>
      <c r="F126" s="3" t="s">
        <v>15</v>
      </c>
      <c r="G126" s="4">
        <v>45048</v>
      </c>
      <c r="H126">
        <v>231</v>
      </c>
      <c r="I126">
        <v>242.55</v>
      </c>
      <c r="J126" s="3">
        <v>264.16000000000003</v>
      </c>
      <c r="K126" s="35">
        <f>Table3[[#This Row],[Units Sold]]*Table3[[#This Row],[Unit Price]]</f>
        <v>56029.05</v>
      </c>
      <c r="L126">
        <f t="shared" si="1"/>
        <v>-4991.9100000000035</v>
      </c>
    </row>
    <row r="127" spans="1:12">
      <c r="A127" s="3" t="s">
        <v>151</v>
      </c>
      <c r="B127" s="3" t="s">
        <v>48</v>
      </c>
      <c r="C127" s="3" t="s">
        <v>12</v>
      </c>
      <c r="D127" s="3" t="s">
        <v>23</v>
      </c>
      <c r="E127" s="3" t="s">
        <v>14</v>
      </c>
      <c r="F127" s="3" t="s">
        <v>20</v>
      </c>
      <c r="G127" s="4">
        <v>45049</v>
      </c>
      <c r="H127">
        <v>46</v>
      </c>
      <c r="I127">
        <v>344.55</v>
      </c>
      <c r="J127" s="3">
        <v>377.25</v>
      </c>
      <c r="K127" s="35">
        <f>Table3[[#This Row],[Units Sold]]*Table3[[#This Row],[Unit Price]]</f>
        <v>15849.300000000001</v>
      </c>
      <c r="L127">
        <f t="shared" si="1"/>
        <v>-1504.1999999999994</v>
      </c>
    </row>
    <row r="128" spans="1:12">
      <c r="A128" s="3" t="s">
        <v>152</v>
      </c>
      <c r="B128" s="3" t="s">
        <v>11</v>
      </c>
      <c r="C128" s="3" t="s">
        <v>18</v>
      </c>
      <c r="D128" s="3" t="s">
        <v>13</v>
      </c>
      <c r="E128" s="3" t="s">
        <v>24</v>
      </c>
      <c r="F128" s="3" t="s">
        <v>28</v>
      </c>
      <c r="G128" s="4">
        <v>45050</v>
      </c>
      <c r="H128">
        <v>486</v>
      </c>
      <c r="I128">
        <v>13.6</v>
      </c>
      <c r="J128" s="3">
        <v>323.94</v>
      </c>
      <c r="K128" s="35">
        <f>Table3[[#This Row],[Units Sold]]*Table3[[#This Row],[Unit Price]]</f>
        <v>6609.5999999999995</v>
      </c>
      <c r="L128">
        <f t="shared" si="1"/>
        <v>-150825.24</v>
      </c>
    </row>
    <row r="129" spans="1:12">
      <c r="A129" s="3" t="s">
        <v>153</v>
      </c>
      <c r="B129" s="3" t="s">
        <v>22</v>
      </c>
      <c r="C129" s="3" t="s">
        <v>12</v>
      </c>
      <c r="D129" s="3" t="s">
        <v>13</v>
      </c>
      <c r="E129" s="3" t="s">
        <v>24</v>
      </c>
      <c r="F129" s="3" t="s">
        <v>15</v>
      </c>
      <c r="G129" s="4">
        <v>45051</v>
      </c>
      <c r="H129">
        <v>287</v>
      </c>
      <c r="I129">
        <v>164.95</v>
      </c>
      <c r="J129" s="3">
        <v>32.409999999999997</v>
      </c>
      <c r="K129" s="35">
        <f>Table3[[#This Row],[Units Sold]]*Table3[[#This Row],[Unit Price]]</f>
        <v>47340.649999999994</v>
      </c>
      <c r="L129">
        <f t="shared" si="1"/>
        <v>38038.979999999996</v>
      </c>
    </row>
    <row r="130" spans="1:12">
      <c r="A130" s="3" t="s">
        <v>154</v>
      </c>
      <c r="B130" s="3" t="s">
        <v>17</v>
      </c>
      <c r="C130" s="3" t="s">
        <v>31</v>
      </c>
      <c r="D130" s="3" t="s">
        <v>19</v>
      </c>
      <c r="E130" s="3" t="s">
        <v>14</v>
      </c>
      <c r="F130" s="3" t="s">
        <v>28</v>
      </c>
      <c r="G130" s="4">
        <v>45052</v>
      </c>
      <c r="H130">
        <v>205</v>
      </c>
      <c r="I130">
        <v>486.68</v>
      </c>
      <c r="J130" s="3">
        <v>113.19</v>
      </c>
      <c r="K130" s="35">
        <f>Table3[[#This Row],[Units Sold]]*Table3[[#This Row],[Unit Price]]</f>
        <v>99769.4</v>
      </c>
      <c r="L130">
        <f t="shared" si="1"/>
        <v>76565.45</v>
      </c>
    </row>
    <row r="131" spans="1:12">
      <c r="A131" s="3" t="s">
        <v>155</v>
      </c>
      <c r="B131" s="3" t="s">
        <v>48</v>
      </c>
      <c r="C131" s="3" t="s">
        <v>12</v>
      </c>
      <c r="D131" s="3" t="s">
        <v>42</v>
      </c>
      <c r="E131" s="3" t="s">
        <v>24</v>
      </c>
      <c r="F131" s="3" t="s">
        <v>28</v>
      </c>
      <c r="G131" s="4">
        <v>45053</v>
      </c>
      <c r="H131">
        <v>413</v>
      </c>
      <c r="I131">
        <v>292.16000000000003</v>
      </c>
      <c r="J131" s="3">
        <v>372.27</v>
      </c>
      <c r="K131" s="35">
        <f>Table3[[#This Row],[Units Sold]]*Table3[[#This Row],[Unit Price]]</f>
        <v>120662.08000000002</v>
      </c>
      <c r="L131">
        <f t="shared" si="1"/>
        <v>-33085.429999999986</v>
      </c>
    </row>
    <row r="132" spans="1:12">
      <c r="A132" s="3" t="s">
        <v>156</v>
      </c>
      <c r="B132" s="3" t="s">
        <v>22</v>
      </c>
      <c r="C132" s="3" t="s">
        <v>26</v>
      </c>
      <c r="D132" s="3" t="s">
        <v>42</v>
      </c>
      <c r="E132" s="3" t="s">
        <v>24</v>
      </c>
      <c r="F132" s="3" t="s">
        <v>15</v>
      </c>
      <c r="G132" s="4">
        <v>45054</v>
      </c>
      <c r="H132">
        <v>361</v>
      </c>
      <c r="I132">
        <v>130.84</v>
      </c>
      <c r="J132" s="3">
        <v>102.72</v>
      </c>
      <c r="K132" s="35">
        <f>Table3[[#This Row],[Units Sold]]*Table3[[#This Row],[Unit Price]]</f>
        <v>47233.24</v>
      </c>
      <c r="L132">
        <f t="shared" si="1"/>
        <v>10151.320000000002</v>
      </c>
    </row>
    <row r="133" spans="1:12">
      <c r="A133" s="3" t="s">
        <v>157</v>
      </c>
      <c r="B133" s="3" t="s">
        <v>17</v>
      </c>
      <c r="C133" s="3" t="s">
        <v>26</v>
      </c>
      <c r="D133" s="3" t="s">
        <v>27</v>
      </c>
      <c r="E133" s="3" t="s">
        <v>14</v>
      </c>
      <c r="F133" s="3" t="s">
        <v>15</v>
      </c>
      <c r="G133" s="4">
        <v>45055</v>
      </c>
      <c r="H133">
        <v>493</v>
      </c>
      <c r="I133">
        <v>263.26</v>
      </c>
      <c r="J133" s="3">
        <v>312.91000000000003</v>
      </c>
      <c r="K133" s="35">
        <f>Table3[[#This Row],[Units Sold]]*Table3[[#This Row],[Unit Price]]</f>
        <v>129787.18</v>
      </c>
      <c r="L133">
        <f t="shared" si="1"/>
        <v>-24477.450000000015</v>
      </c>
    </row>
    <row r="134" spans="1:12">
      <c r="A134" s="3" t="s">
        <v>158</v>
      </c>
      <c r="B134" s="3" t="s">
        <v>17</v>
      </c>
      <c r="C134" s="3" t="s">
        <v>31</v>
      </c>
      <c r="D134" s="3" t="s">
        <v>19</v>
      </c>
      <c r="E134" s="3" t="s">
        <v>24</v>
      </c>
      <c r="F134" s="3" t="s">
        <v>15</v>
      </c>
      <c r="G134" s="4">
        <v>45056</v>
      </c>
      <c r="H134">
        <v>251</v>
      </c>
      <c r="I134">
        <v>174.61</v>
      </c>
      <c r="J134" s="3">
        <v>330.4</v>
      </c>
      <c r="K134" s="35">
        <f>Table3[[#This Row],[Units Sold]]*Table3[[#This Row],[Unit Price]]</f>
        <v>43827.11</v>
      </c>
      <c r="L134">
        <f t="shared" ref="L134:L197" si="2">(I134-J134)*H134</f>
        <v>-39103.289999999994</v>
      </c>
    </row>
    <row r="135" spans="1:12">
      <c r="A135" s="3" t="s">
        <v>159</v>
      </c>
      <c r="B135" s="3" t="s">
        <v>17</v>
      </c>
      <c r="C135" s="3" t="s">
        <v>18</v>
      </c>
      <c r="D135" s="3" t="s">
        <v>27</v>
      </c>
      <c r="E135" s="3" t="s">
        <v>24</v>
      </c>
      <c r="F135" s="3" t="s">
        <v>15</v>
      </c>
      <c r="G135" s="4">
        <v>45057</v>
      </c>
      <c r="H135">
        <v>248.5</v>
      </c>
      <c r="I135">
        <v>268.45999999999998</v>
      </c>
      <c r="J135" s="3">
        <v>199.19</v>
      </c>
      <c r="K135" s="35">
        <f>Table3[[#This Row],[Units Sold]]*Table3[[#This Row],[Unit Price]]</f>
        <v>66712.31</v>
      </c>
      <c r="L135">
        <f t="shared" si="2"/>
        <v>17213.594999999994</v>
      </c>
    </row>
    <row r="136" spans="1:12">
      <c r="A136" s="3" t="s">
        <v>160</v>
      </c>
      <c r="B136" s="3" t="s">
        <v>22</v>
      </c>
      <c r="C136" s="3" t="s">
        <v>26</v>
      </c>
      <c r="D136" s="3" t="s">
        <v>27</v>
      </c>
      <c r="E136" s="3" t="s">
        <v>24</v>
      </c>
      <c r="F136" s="3" t="s">
        <v>15</v>
      </c>
      <c r="G136" s="4">
        <v>45058</v>
      </c>
      <c r="H136">
        <v>228</v>
      </c>
      <c r="I136">
        <v>67.239999999999995</v>
      </c>
      <c r="J136" s="3">
        <v>155.77000000000001</v>
      </c>
      <c r="K136" s="35">
        <f>Table3[[#This Row],[Units Sold]]*Table3[[#This Row],[Unit Price]]</f>
        <v>15330.72</v>
      </c>
      <c r="L136">
        <f t="shared" si="2"/>
        <v>-20184.840000000004</v>
      </c>
    </row>
    <row r="137" spans="1:12">
      <c r="A137" s="3" t="s">
        <v>161</v>
      </c>
      <c r="B137" s="3" t="s">
        <v>22</v>
      </c>
      <c r="C137" s="3" t="s">
        <v>50</v>
      </c>
      <c r="D137" s="3" t="s">
        <v>27</v>
      </c>
      <c r="E137" s="3" t="s">
        <v>14</v>
      </c>
      <c r="F137" s="3" t="s">
        <v>15</v>
      </c>
      <c r="G137" s="4">
        <v>45059</v>
      </c>
      <c r="H137">
        <v>201</v>
      </c>
      <c r="I137">
        <v>70.69</v>
      </c>
      <c r="J137" s="3">
        <v>181.15</v>
      </c>
      <c r="K137" s="35">
        <f>Table3[[#This Row],[Units Sold]]*Table3[[#This Row],[Unit Price]]</f>
        <v>14208.689999999999</v>
      </c>
      <c r="L137">
        <f t="shared" si="2"/>
        <v>-22202.460000000003</v>
      </c>
    </row>
    <row r="138" spans="1:12">
      <c r="A138" s="3" t="s">
        <v>162</v>
      </c>
      <c r="B138" s="3" t="s">
        <v>22</v>
      </c>
      <c r="C138" s="3" t="s">
        <v>26</v>
      </c>
      <c r="D138" s="3" t="s">
        <v>23</v>
      </c>
      <c r="E138" s="3" t="s">
        <v>14</v>
      </c>
      <c r="F138" s="3" t="s">
        <v>15</v>
      </c>
      <c r="G138" s="4">
        <v>45060</v>
      </c>
      <c r="H138">
        <v>26</v>
      </c>
      <c r="I138">
        <v>76.05</v>
      </c>
      <c r="J138" s="3">
        <v>92.33</v>
      </c>
      <c r="K138" s="35">
        <f>Table3[[#This Row],[Units Sold]]*Table3[[#This Row],[Unit Price]]</f>
        <v>1977.3</v>
      </c>
      <c r="L138">
        <f t="shared" si="2"/>
        <v>-423.28000000000003</v>
      </c>
    </row>
    <row r="139" spans="1:12">
      <c r="A139" s="3" t="s">
        <v>163</v>
      </c>
      <c r="B139" s="3" t="s">
        <v>11</v>
      </c>
      <c r="C139" s="3" t="s">
        <v>26</v>
      </c>
      <c r="D139" s="3" t="s">
        <v>23</v>
      </c>
      <c r="E139" s="3" t="s">
        <v>14</v>
      </c>
      <c r="F139" s="3" t="s">
        <v>20</v>
      </c>
      <c r="G139" s="4">
        <v>45061</v>
      </c>
      <c r="H139">
        <v>21</v>
      </c>
      <c r="I139">
        <v>470.21</v>
      </c>
      <c r="J139" s="3">
        <v>355.98</v>
      </c>
      <c r="K139" s="35">
        <f>Table3[[#This Row],[Units Sold]]*Table3[[#This Row],[Unit Price]]</f>
        <v>9874.41</v>
      </c>
      <c r="L139">
        <f t="shared" si="2"/>
        <v>2398.829999999999</v>
      </c>
    </row>
    <row r="140" spans="1:12">
      <c r="A140" s="3" t="s">
        <v>164</v>
      </c>
      <c r="B140" s="3" t="s">
        <v>22</v>
      </c>
      <c r="C140" s="3" t="s">
        <v>18</v>
      </c>
      <c r="D140" s="3" t="s">
        <v>27</v>
      </c>
      <c r="E140" s="3" t="s">
        <v>24</v>
      </c>
      <c r="F140" s="3" t="s">
        <v>28</v>
      </c>
      <c r="G140" s="4">
        <v>45062</v>
      </c>
      <c r="H140">
        <v>415</v>
      </c>
      <c r="I140">
        <v>367.78</v>
      </c>
      <c r="J140" s="3">
        <v>181.35</v>
      </c>
      <c r="K140" s="35">
        <f>Table3[[#This Row],[Units Sold]]*Table3[[#This Row],[Unit Price]]</f>
        <v>152628.69999999998</v>
      </c>
      <c r="L140">
        <f t="shared" si="2"/>
        <v>77368.45</v>
      </c>
    </row>
    <row r="141" spans="1:12">
      <c r="A141" s="3" t="s">
        <v>165</v>
      </c>
      <c r="B141" s="3" t="s">
        <v>22</v>
      </c>
      <c r="C141" s="3" t="s">
        <v>12</v>
      </c>
      <c r="D141" s="3" t="s">
        <v>19</v>
      </c>
      <c r="E141" s="3" t="s">
        <v>24</v>
      </c>
      <c r="F141" s="3" t="s">
        <v>15</v>
      </c>
      <c r="G141" s="4">
        <v>45063</v>
      </c>
      <c r="H141">
        <v>410</v>
      </c>
      <c r="I141">
        <v>85.38</v>
      </c>
      <c r="J141" s="3">
        <v>353.22</v>
      </c>
      <c r="K141" s="35">
        <f>Table3[[#This Row],[Units Sold]]*Table3[[#This Row],[Unit Price]]</f>
        <v>35005.799999999996</v>
      </c>
      <c r="L141">
        <f t="shared" si="2"/>
        <v>-109814.40000000001</v>
      </c>
    </row>
    <row r="142" spans="1:12">
      <c r="A142" s="3" t="s">
        <v>166</v>
      </c>
      <c r="B142" s="3" t="s">
        <v>22</v>
      </c>
      <c r="C142" s="3" t="s">
        <v>26</v>
      </c>
      <c r="D142" s="3" t="s">
        <v>42</v>
      </c>
      <c r="E142" s="3" t="s">
        <v>14</v>
      </c>
      <c r="F142" s="3" t="s">
        <v>20</v>
      </c>
      <c r="G142" s="4">
        <v>45064</v>
      </c>
      <c r="H142">
        <v>403</v>
      </c>
      <c r="I142">
        <v>98.23</v>
      </c>
      <c r="J142" s="3">
        <v>44.07</v>
      </c>
      <c r="K142" s="35">
        <f>Table3[[#This Row],[Units Sold]]*Table3[[#This Row],[Unit Price]]</f>
        <v>39586.69</v>
      </c>
      <c r="L142">
        <f t="shared" si="2"/>
        <v>21826.480000000003</v>
      </c>
    </row>
    <row r="143" spans="1:12">
      <c r="A143" s="3" t="s">
        <v>167</v>
      </c>
      <c r="B143" s="3" t="s">
        <v>11</v>
      </c>
      <c r="C143" s="3" t="s">
        <v>31</v>
      </c>
      <c r="D143" s="3" t="s">
        <v>19</v>
      </c>
      <c r="E143" s="3" t="s">
        <v>24</v>
      </c>
      <c r="F143" s="3" t="s">
        <v>20</v>
      </c>
      <c r="G143" s="4">
        <v>45065</v>
      </c>
      <c r="H143">
        <v>383</v>
      </c>
      <c r="I143">
        <v>366.76</v>
      </c>
      <c r="J143" s="3">
        <v>395.33</v>
      </c>
      <c r="K143" s="35">
        <f>Table3[[#This Row],[Units Sold]]*Table3[[#This Row],[Unit Price]]</f>
        <v>140469.07999999999</v>
      </c>
      <c r="L143">
        <f t="shared" si="2"/>
        <v>-10942.309999999998</v>
      </c>
    </row>
    <row r="144" spans="1:12">
      <c r="A144" s="3" t="s">
        <v>168</v>
      </c>
      <c r="B144" s="3" t="s">
        <v>22</v>
      </c>
      <c r="C144" s="3" t="s">
        <v>12</v>
      </c>
      <c r="D144" s="3" t="s">
        <v>13</v>
      </c>
      <c r="E144" s="3" t="s">
        <v>24</v>
      </c>
      <c r="F144" s="3" t="s">
        <v>20</v>
      </c>
      <c r="G144" s="4">
        <v>45066</v>
      </c>
      <c r="H144">
        <v>202</v>
      </c>
      <c r="I144">
        <v>82.3</v>
      </c>
      <c r="J144" s="3">
        <v>178.42</v>
      </c>
      <c r="K144" s="35">
        <f>Table3[[#This Row],[Units Sold]]*Table3[[#This Row],[Unit Price]]</f>
        <v>16624.599999999999</v>
      </c>
      <c r="L144">
        <f t="shared" si="2"/>
        <v>-19416.239999999998</v>
      </c>
    </row>
    <row r="145" spans="1:12">
      <c r="A145" s="3" t="s">
        <v>169</v>
      </c>
      <c r="B145" s="3" t="s">
        <v>17</v>
      </c>
      <c r="C145" s="3" t="s">
        <v>50</v>
      </c>
      <c r="D145" s="3" t="s">
        <v>23</v>
      </c>
      <c r="E145" s="3" t="s">
        <v>24</v>
      </c>
      <c r="F145" s="3" t="s">
        <v>28</v>
      </c>
      <c r="G145" s="4">
        <v>45067</v>
      </c>
      <c r="H145">
        <v>31</v>
      </c>
      <c r="I145">
        <v>121.11</v>
      </c>
      <c r="J145" s="3">
        <v>21.04</v>
      </c>
      <c r="K145" s="35">
        <f>Table3[[#This Row],[Units Sold]]*Table3[[#This Row],[Unit Price]]</f>
        <v>3754.41</v>
      </c>
      <c r="L145">
        <f t="shared" si="2"/>
        <v>3102.1699999999996</v>
      </c>
    </row>
    <row r="146" spans="1:12">
      <c r="A146" s="3" t="s">
        <v>170</v>
      </c>
      <c r="B146" s="3" t="s">
        <v>22</v>
      </c>
      <c r="C146" s="3" t="s">
        <v>18</v>
      </c>
      <c r="D146" s="3" t="s">
        <v>42</v>
      </c>
      <c r="E146" s="3" t="s">
        <v>24</v>
      </c>
      <c r="F146" s="3" t="s">
        <v>15</v>
      </c>
      <c r="G146" s="4">
        <v>45068</v>
      </c>
      <c r="H146">
        <v>483</v>
      </c>
      <c r="I146">
        <v>481.86</v>
      </c>
      <c r="J146" s="3">
        <v>17.13</v>
      </c>
      <c r="K146" s="35">
        <f>Table3[[#This Row],[Units Sold]]*Table3[[#This Row],[Unit Price]]</f>
        <v>232738.38</v>
      </c>
      <c r="L146">
        <f t="shared" si="2"/>
        <v>224464.59</v>
      </c>
    </row>
    <row r="147" spans="1:12">
      <c r="A147" s="3" t="s">
        <v>171</v>
      </c>
      <c r="B147" s="3" t="s">
        <v>17</v>
      </c>
      <c r="C147" s="3" t="s">
        <v>50</v>
      </c>
      <c r="D147" s="3" t="s">
        <v>42</v>
      </c>
      <c r="E147" s="3" t="s">
        <v>24</v>
      </c>
      <c r="F147" s="3" t="s">
        <v>20</v>
      </c>
      <c r="G147" s="4">
        <v>45069</v>
      </c>
      <c r="H147">
        <v>129</v>
      </c>
      <c r="I147">
        <v>131.38</v>
      </c>
      <c r="J147" s="3">
        <v>298.99</v>
      </c>
      <c r="K147" s="35">
        <f>Table3[[#This Row],[Units Sold]]*Table3[[#This Row],[Unit Price]]</f>
        <v>16948.02</v>
      </c>
      <c r="L147">
        <f t="shared" si="2"/>
        <v>-21621.690000000002</v>
      </c>
    </row>
    <row r="148" spans="1:12">
      <c r="A148" s="3" t="s">
        <v>172</v>
      </c>
      <c r="B148" s="3" t="s">
        <v>17</v>
      </c>
      <c r="C148" s="3" t="s">
        <v>12</v>
      </c>
      <c r="D148" s="3" t="s">
        <v>13</v>
      </c>
      <c r="E148" s="3" t="s">
        <v>14</v>
      </c>
      <c r="F148" s="3" t="s">
        <v>28</v>
      </c>
      <c r="G148" s="4">
        <v>45070</v>
      </c>
      <c r="H148">
        <v>219</v>
      </c>
      <c r="I148">
        <v>332.51</v>
      </c>
      <c r="J148" s="3">
        <v>264.3</v>
      </c>
      <c r="K148" s="35">
        <f>Table3[[#This Row],[Units Sold]]*Table3[[#This Row],[Unit Price]]</f>
        <v>72819.69</v>
      </c>
      <c r="L148">
        <f t="shared" si="2"/>
        <v>14937.989999999996</v>
      </c>
    </row>
    <row r="149" spans="1:12">
      <c r="A149" s="3" t="s">
        <v>173</v>
      </c>
      <c r="B149" s="3" t="s">
        <v>17</v>
      </c>
      <c r="C149" s="3" t="s">
        <v>12</v>
      </c>
      <c r="D149" s="3" t="s">
        <v>13</v>
      </c>
      <c r="E149" s="3" t="s">
        <v>24</v>
      </c>
      <c r="F149" s="3" t="s">
        <v>28</v>
      </c>
      <c r="G149" s="4">
        <v>45071</v>
      </c>
      <c r="H149">
        <v>315</v>
      </c>
      <c r="I149">
        <v>489.42</v>
      </c>
      <c r="J149" s="3">
        <v>321.25</v>
      </c>
      <c r="K149" s="35">
        <f>Table3[[#This Row],[Units Sold]]*Table3[[#This Row],[Unit Price]]</f>
        <v>154167.30000000002</v>
      </c>
      <c r="L149">
        <f t="shared" si="2"/>
        <v>52973.55</v>
      </c>
    </row>
    <row r="150" spans="1:12">
      <c r="A150" s="3" t="s">
        <v>174</v>
      </c>
      <c r="B150" s="3" t="s">
        <v>11</v>
      </c>
      <c r="C150" s="3" t="s">
        <v>12</v>
      </c>
      <c r="D150" s="3" t="s">
        <v>27</v>
      </c>
      <c r="E150" s="3" t="s">
        <v>14</v>
      </c>
      <c r="F150" s="3" t="s">
        <v>28</v>
      </c>
      <c r="G150" s="4">
        <v>45072</v>
      </c>
      <c r="H150">
        <v>279</v>
      </c>
      <c r="I150">
        <v>190.28</v>
      </c>
      <c r="J150" s="3">
        <v>43.94</v>
      </c>
      <c r="K150" s="35">
        <f>Table3[[#This Row],[Units Sold]]*Table3[[#This Row],[Unit Price]]</f>
        <v>53088.12</v>
      </c>
      <c r="L150">
        <f t="shared" si="2"/>
        <v>40828.86</v>
      </c>
    </row>
    <row r="151" spans="1:12">
      <c r="A151" s="3" t="s">
        <v>175</v>
      </c>
      <c r="B151" s="3" t="s">
        <v>11</v>
      </c>
      <c r="C151" s="3" t="s">
        <v>50</v>
      </c>
      <c r="D151" s="3" t="s">
        <v>23</v>
      </c>
      <c r="E151" s="3" t="s">
        <v>24</v>
      </c>
      <c r="F151" s="3" t="s">
        <v>20</v>
      </c>
      <c r="G151" s="4">
        <v>45073</v>
      </c>
      <c r="H151">
        <v>201</v>
      </c>
      <c r="I151">
        <v>13.67</v>
      </c>
      <c r="J151" s="3">
        <v>16.16</v>
      </c>
      <c r="K151" s="35">
        <f>Table3[[#This Row],[Units Sold]]*Table3[[#This Row],[Unit Price]]</f>
        <v>2747.67</v>
      </c>
      <c r="L151">
        <f t="shared" si="2"/>
        <v>-500.49000000000007</v>
      </c>
    </row>
    <row r="152" spans="1:12">
      <c r="A152" s="3" t="s">
        <v>176</v>
      </c>
      <c r="B152" s="3" t="s">
        <v>11</v>
      </c>
      <c r="C152" s="3" t="s">
        <v>12</v>
      </c>
      <c r="D152" s="3" t="s">
        <v>23</v>
      </c>
      <c r="E152" s="3" t="s">
        <v>14</v>
      </c>
      <c r="F152" s="3" t="s">
        <v>15</v>
      </c>
      <c r="G152" s="4">
        <v>45074</v>
      </c>
      <c r="H152">
        <v>184</v>
      </c>
      <c r="I152">
        <v>125.85</v>
      </c>
      <c r="J152" s="3">
        <v>204.41</v>
      </c>
      <c r="K152" s="35">
        <f>Table3[[#This Row],[Units Sold]]*Table3[[#This Row],[Unit Price]]</f>
        <v>23156.399999999998</v>
      </c>
      <c r="L152">
        <f t="shared" si="2"/>
        <v>-14455.04</v>
      </c>
    </row>
    <row r="153" spans="1:12">
      <c r="A153" s="3" t="s">
        <v>177</v>
      </c>
      <c r="B153" s="3" t="s">
        <v>22</v>
      </c>
      <c r="C153" s="3" t="s">
        <v>50</v>
      </c>
      <c r="D153" s="3" t="s">
        <v>19</v>
      </c>
      <c r="E153" s="3" t="s">
        <v>24</v>
      </c>
      <c r="F153" s="3" t="s">
        <v>20</v>
      </c>
      <c r="G153" s="4">
        <v>45075</v>
      </c>
      <c r="H153">
        <v>294</v>
      </c>
      <c r="I153">
        <v>416.28</v>
      </c>
      <c r="J153" s="3">
        <v>156.26</v>
      </c>
      <c r="K153" s="35">
        <f>Table3[[#This Row],[Units Sold]]*Table3[[#This Row],[Unit Price]]</f>
        <v>122386.31999999999</v>
      </c>
      <c r="L153">
        <f t="shared" si="2"/>
        <v>76445.87999999999</v>
      </c>
    </row>
    <row r="154" spans="1:12">
      <c r="A154" s="3" t="s">
        <v>178</v>
      </c>
      <c r="B154" s="3" t="s">
        <v>17</v>
      </c>
      <c r="C154" s="3" t="s">
        <v>12</v>
      </c>
      <c r="D154" s="3" t="s">
        <v>27</v>
      </c>
      <c r="E154" s="3" t="s">
        <v>14</v>
      </c>
      <c r="F154" s="3" t="s">
        <v>20</v>
      </c>
      <c r="G154" s="4">
        <v>45076</v>
      </c>
      <c r="H154">
        <v>213</v>
      </c>
      <c r="I154">
        <v>432.98</v>
      </c>
      <c r="J154" s="3">
        <v>185.85</v>
      </c>
      <c r="K154" s="35">
        <f>Table3[[#This Row],[Units Sold]]*Table3[[#This Row],[Unit Price]]</f>
        <v>92224.74</v>
      </c>
      <c r="L154">
        <f t="shared" si="2"/>
        <v>52638.69</v>
      </c>
    </row>
    <row r="155" spans="1:12">
      <c r="A155" s="3" t="s">
        <v>179</v>
      </c>
      <c r="B155" s="3" t="s">
        <v>11</v>
      </c>
      <c r="C155" s="3" t="s">
        <v>31</v>
      </c>
      <c r="D155" s="3" t="s">
        <v>27</v>
      </c>
      <c r="E155" s="3" t="s">
        <v>24</v>
      </c>
      <c r="F155" s="3" t="s">
        <v>15</v>
      </c>
      <c r="G155" s="4">
        <v>45077</v>
      </c>
      <c r="H155">
        <v>173</v>
      </c>
      <c r="I155">
        <v>385.42</v>
      </c>
      <c r="J155" s="3">
        <v>396.65</v>
      </c>
      <c r="K155" s="35">
        <f>Table3[[#This Row],[Units Sold]]*Table3[[#This Row],[Unit Price]]</f>
        <v>66677.66</v>
      </c>
      <c r="L155">
        <f t="shared" si="2"/>
        <v>-1942.7899999999934</v>
      </c>
    </row>
    <row r="156" spans="1:12">
      <c r="A156" s="3" t="s">
        <v>180</v>
      </c>
      <c r="B156" s="3" t="s">
        <v>11</v>
      </c>
      <c r="C156" s="3" t="s">
        <v>12</v>
      </c>
      <c r="D156" s="3" t="s">
        <v>27</v>
      </c>
      <c r="E156" s="3" t="s">
        <v>14</v>
      </c>
      <c r="F156" s="3" t="s">
        <v>15</v>
      </c>
      <c r="G156" s="4">
        <v>45078</v>
      </c>
      <c r="H156">
        <v>260</v>
      </c>
      <c r="I156">
        <v>60.99</v>
      </c>
      <c r="J156" s="3">
        <v>388.36</v>
      </c>
      <c r="K156" s="35">
        <f>Table3[[#This Row],[Units Sold]]*Table3[[#This Row],[Unit Price]]</f>
        <v>15857.4</v>
      </c>
      <c r="L156">
        <f t="shared" si="2"/>
        <v>-85116.2</v>
      </c>
    </row>
    <row r="157" spans="1:12">
      <c r="A157" s="3" t="s">
        <v>181</v>
      </c>
      <c r="B157" s="3" t="s">
        <v>22</v>
      </c>
      <c r="C157" s="3" t="s">
        <v>50</v>
      </c>
      <c r="D157" s="3" t="s">
        <v>27</v>
      </c>
      <c r="E157" s="3" t="s">
        <v>24</v>
      </c>
      <c r="F157" s="3" t="s">
        <v>15</v>
      </c>
      <c r="G157" s="4">
        <v>45079</v>
      </c>
      <c r="H157">
        <v>236</v>
      </c>
      <c r="I157">
        <v>398.78</v>
      </c>
      <c r="J157" s="3">
        <v>377.04</v>
      </c>
      <c r="K157" s="35">
        <f>Table3[[#This Row],[Units Sold]]*Table3[[#This Row],[Unit Price]]</f>
        <v>94112.079999999987</v>
      </c>
      <c r="L157">
        <f t="shared" si="2"/>
        <v>5130.6399999999885</v>
      </c>
    </row>
    <row r="158" spans="1:12">
      <c r="A158" s="3" t="s">
        <v>182</v>
      </c>
      <c r="B158" s="3" t="s">
        <v>11</v>
      </c>
      <c r="C158" s="3" t="s">
        <v>26</v>
      </c>
      <c r="D158" s="3" t="s">
        <v>23</v>
      </c>
      <c r="E158" s="3" t="s">
        <v>14</v>
      </c>
      <c r="F158" s="3" t="s">
        <v>28</v>
      </c>
      <c r="G158" s="4">
        <v>45080</v>
      </c>
      <c r="H158">
        <v>445</v>
      </c>
      <c r="I158">
        <v>459.75</v>
      </c>
      <c r="J158" s="3">
        <v>313.97000000000003</v>
      </c>
      <c r="K158" s="35">
        <f>Table3[[#This Row],[Units Sold]]*Table3[[#This Row],[Unit Price]]</f>
        <v>204588.75</v>
      </c>
      <c r="L158">
        <f t="shared" si="2"/>
        <v>64872.099999999991</v>
      </c>
    </row>
    <row r="159" spans="1:12">
      <c r="A159" s="3" t="s">
        <v>183</v>
      </c>
      <c r="B159" s="3" t="s">
        <v>22</v>
      </c>
      <c r="C159" s="3" t="s">
        <v>12</v>
      </c>
      <c r="D159" s="3" t="s">
        <v>23</v>
      </c>
      <c r="E159" s="3" t="s">
        <v>24</v>
      </c>
      <c r="F159" s="3" t="s">
        <v>15</v>
      </c>
      <c r="G159" s="4">
        <v>45081</v>
      </c>
      <c r="H159">
        <v>390</v>
      </c>
      <c r="I159">
        <v>302.3</v>
      </c>
      <c r="J159" s="3">
        <v>143.22999999999999</v>
      </c>
      <c r="K159" s="35">
        <f>Table3[[#This Row],[Units Sold]]*Table3[[#This Row],[Unit Price]]</f>
        <v>117897</v>
      </c>
      <c r="L159">
        <f t="shared" si="2"/>
        <v>62037.30000000001</v>
      </c>
    </row>
    <row r="160" spans="1:12">
      <c r="A160" s="3" t="s">
        <v>184</v>
      </c>
      <c r="B160" s="3" t="s">
        <v>48</v>
      </c>
      <c r="C160" s="3" t="s">
        <v>26</v>
      </c>
      <c r="D160" s="3" t="s">
        <v>27</v>
      </c>
      <c r="E160" s="3" t="s">
        <v>14</v>
      </c>
      <c r="F160" s="3" t="s">
        <v>20</v>
      </c>
      <c r="G160" s="4">
        <v>45082</v>
      </c>
      <c r="H160">
        <v>469</v>
      </c>
      <c r="I160">
        <v>470.73</v>
      </c>
      <c r="J160" s="3">
        <v>166.03</v>
      </c>
      <c r="K160" s="35">
        <f>Table3[[#This Row],[Units Sold]]*Table3[[#This Row],[Unit Price]]</f>
        <v>220772.37</v>
      </c>
      <c r="L160">
        <f t="shared" si="2"/>
        <v>142904.30000000002</v>
      </c>
    </row>
    <row r="161" spans="1:12">
      <c r="A161" s="3" t="s">
        <v>185</v>
      </c>
      <c r="B161" s="3" t="s">
        <v>11</v>
      </c>
      <c r="C161" s="3" t="s">
        <v>31</v>
      </c>
      <c r="D161" s="3" t="s">
        <v>19</v>
      </c>
      <c r="E161" s="3" t="s">
        <v>14</v>
      </c>
      <c r="F161" s="3" t="s">
        <v>15</v>
      </c>
      <c r="G161" s="4">
        <v>45083</v>
      </c>
      <c r="H161">
        <v>16</v>
      </c>
      <c r="I161">
        <v>255.4</v>
      </c>
      <c r="J161" s="3">
        <v>220.75</v>
      </c>
      <c r="K161" s="35">
        <f>Table3[[#This Row],[Units Sold]]*Table3[[#This Row],[Unit Price]]</f>
        <v>4086.4</v>
      </c>
      <c r="L161">
        <f t="shared" si="2"/>
        <v>554.40000000000009</v>
      </c>
    </row>
    <row r="162" spans="1:12">
      <c r="A162" s="3" t="s">
        <v>186</v>
      </c>
      <c r="B162" s="3" t="s">
        <v>48</v>
      </c>
      <c r="C162" s="3" t="s">
        <v>18</v>
      </c>
      <c r="D162" s="3" t="s">
        <v>42</v>
      </c>
      <c r="E162" s="3" t="s">
        <v>24</v>
      </c>
      <c r="F162" s="3" t="s">
        <v>20</v>
      </c>
      <c r="G162" s="4">
        <v>45084</v>
      </c>
      <c r="H162">
        <v>38</v>
      </c>
      <c r="I162">
        <v>335.15</v>
      </c>
      <c r="J162" s="3">
        <v>332.55</v>
      </c>
      <c r="K162" s="35">
        <f>Table3[[#This Row],[Units Sold]]*Table3[[#This Row],[Unit Price]]</f>
        <v>12735.699999999999</v>
      </c>
      <c r="L162">
        <f t="shared" si="2"/>
        <v>98.799999999998704</v>
      </c>
    </row>
    <row r="163" spans="1:12">
      <c r="A163" s="3" t="s">
        <v>187</v>
      </c>
      <c r="B163" s="3" t="s">
        <v>22</v>
      </c>
      <c r="C163" s="3" t="s">
        <v>31</v>
      </c>
      <c r="E163" s="3" t="s">
        <v>24</v>
      </c>
      <c r="F163" s="3" t="s">
        <v>28</v>
      </c>
      <c r="G163" s="4">
        <v>45085</v>
      </c>
      <c r="H163">
        <v>404</v>
      </c>
      <c r="I163">
        <v>290.70999999999998</v>
      </c>
      <c r="J163" s="3">
        <v>29.35</v>
      </c>
      <c r="K163" s="35">
        <f>Table3[[#This Row],[Units Sold]]*Table3[[#This Row],[Unit Price]]</f>
        <v>117446.84</v>
      </c>
      <c r="L163">
        <f t="shared" si="2"/>
        <v>105589.43999999999</v>
      </c>
    </row>
    <row r="164" spans="1:12">
      <c r="A164" s="3" t="s">
        <v>188</v>
      </c>
      <c r="B164" s="3" t="s">
        <v>17</v>
      </c>
      <c r="C164" s="3" t="s">
        <v>12</v>
      </c>
      <c r="D164" s="3" t="s">
        <v>19</v>
      </c>
      <c r="E164" s="3" t="s">
        <v>14</v>
      </c>
      <c r="F164" s="3" t="s">
        <v>20</v>
      </c>
      <c r="G164" s="4">
        <v>45086</v>
      </c>
      <c r="H164">
        <v>42</v>
      </c>
      <c r="I164">
        <v>177.54</v>
      </c>
      <c r="J164" s="3">
        <v>170.87</v>
      </c>
      <c r="K164" s="35">
        <f>Table3[[#This Row],[Units Sold]]*Table3[[#This Row],[Unit Price]]</f>
        <v>7456.6799999999994</v>
      </c>
      <c r="L164">
        <f t="shared" si="2"/>
        <v>280.13999999999947</v>
      </c>
    </row>
    <row r="165" spans="1:12">
      <c r="A165" s="3" t="s">
        <v>189</v>
      </c>
      <c r="B165" s="3" t="s">
        <v>11</v>
      </c>
      <c r="C165" s="3" t="s">
        <v>26</v>
      </c>
      <c r="D165" s="3" t="s">
        <v>27</v>
      </c>
      <c r="E165" s="3" t="s">
        <v>24</v>
      </c>
      <c r="F165" s="3" t="s">
        <v>20</v>
      </c>
      <c r="G165" s="4">
        <v>45087</v>
      </c>
      <c r="H165">
        <v>143</v>
      </c>
      <c r="I165">
        <v>83.85</v>
      </c>
      <c r="J165" s="3">
        <v>34.880000000000003</v>
      </c>
      <c r="K165" s="35">
        <f>Table3[[#This Row],[Units Sold]]*Table3[[#This Row],[Unit Price]]</f>
        <v>11990.55</v>
      </c>
      <c r="L165">
        <f t="shared" si="2"/>
        <v>7002.7099999999991</v>
      </c>
    </row>
    <row r="166" spans="1:12">
      <c r="A166" s="3" t="s">
        <v>190</v>
      </c>
      <c r="B166" s="3" t="s">
        <v>22</v>
      </c>
      <c r="C166" s="3" t="s">
        <v>26</v>
      </c>
      <c r="D166" s="3" t="s">
        <v>23</v>
      </c>
      <c r="E166" s="3" t="s">
        <v>14</v>
      </c>
      <c r="F166" s="3" t="s">
        <v>15</v>
      </c>
      <c r="G166" s="4">
        <v>45088</v>
      </c>
      <c r="H166">
        <v>376</v>
      </c>
      <c r="I166">
        <v>304.45</v>
      </c>
      <c r="J166" s="3">
        <v>206.83</v>
      </c>
      <c r="K166" s="35">
        <f>Table3[[#This Row],[Units Sold]]*Table3[[#This Row],[Unit Price]]</f>
        <v>114473.2</v>
      </c>
      <c r="L166">
        <f t="shared" si="2"/>
        <v>36705.119999999988</v>
      </c>
    </row>
    <row r="167" spans="1:12">
      <c r="A167" s="3" t="s">
        <v>191</v>
      </c>
      <c r="B167" s="3" t="s">
        <v>17</v>
      </c>
      <c r="C167" s="3" t="s">
        <v>50</v>
      </c>
      <c r="D167" s="3" t="s">
        <v>42</v>
      </c>
      <c r="E167" s="3" t="s">
        <v>14</v>
      </c>
      <c r="F167" s="3" t="s">
        <v>15</v>
      </c>
      <c r="G167" s="4">
        <v>45089</v>
      </c>
      <c r="H167">
        <v>88</v>
      </c>
      <c r="I167">
        <v>162.47</v>
      </c>
      <c r="J167" s="3">
        <v>359.76</v>
      </c>
      <c r="K167" s="35">
        <f>Table3[[#This Row],[Units Sold]]*Table3[[#This Row],[Unit Price]]</f>
        <v>14297.36</v>
      </c>
      <c r="L167">
        <f t="shared" si="2"/>
        <v>-17361.52</v>
      </c>
    </row>
    <row r="168" spans="1:12">
      <c r="A168" s="3" t="s">
        <v>192</v>
      </c>
      <c r="B168" s="3" t="s">
        <v>17</v>
      </c>
      <c r="C168" s="3" t="s">
        <v>26</v>
      </c>
      <c r="D168" s="3" t="s">
        <v>13</v>
      </c>
      <c r="E168" s="3" t="s">
        <v>14</v>
      </c>
      <c r="F168" s="3" t="s">
        <v>20</v>
      </c>
      <c r="G168" s="4">
        <v>45090</v>
      </c>
      <c r="H168">
        <v>425</v>
      </c>
      <c r="I168">
        <v>433.89</v>
      </c>
      <c r="J168" s="3">
        <v>313.43</v>
      </c>
      <c r="K168" s="35">
        <f>Table3[[#This Row],[Units Sold]]*Table3[[#This Row],[Unit Price]]</f>
        <v>184403.25</v>
      </c>
      <c r="L168">
        <f t="shared" si="2"/>
        <v>51195.499999999993</v>
      </c>
    </row>
    <row r="169" spans="1:12">
      <c r="A169" s="3" t="s">
        <v>193</v>
      </c>
      <c r="B169" s="3" t="s">
        <v>48</v>
      </c>
      <c r="C169" s="3" t="s">
        <v>50</v>
      </c>
      <c r="D169" s="3" t="s">
        <v>13</v>
      </c>
      <c r="E169" s="3" t="s">
        <v>24</v>
      </c>
      <c r="F169" s="3" t="s">
        <v>15</v>
      </c>
      <c r="G169" s="4">
        <v>45091</v>
      </c>
      <c r="H169">
        <v>444</v>
      </c>
      <c r="I169">
        <v>496.7</v>
      </c>
      <c r="J169" s="3">
        <v>92.68</v>
      </c>
      <c r="K169" s="35">
        <f>Table3[[#This Row],[Units Sold]]*Table3[[#This Row],[Unit Price]]</f>
        <v>220534.8</v>
      </c>
      <c r="L169">
        <f t="shared" si="2"/>
        <v>179384.88</v>
      </c>
    </row>
    <row r="170" spans="1:12">
      <c r="A170" s="3" t="s">
        <v>194</v>
      </c>
      <c r="B170" s="3" t="s">
        <v>22</v>
      </c>
      <c r="C170" s="3" t="s">
        <v>18</v>
      </c>
      <c r="D170" s="3" t="s">
        <v>19</v>
      </c>
      <c r="E170" s="3" t="s">
        <v>14</v>
      </c>
      <c r="F170" s="3" t="s">
        <v>28</v>
      </c>
      <c r="G170" s="4">
        <v>45092</v>
      </c>
      <c r="H170">
        <v>468</v>
      </c>
      <c r="I170">
        <v>377.45</v>
      </c>
      <c r="J170" s="3">
        <v>390.44</v>
      </c>
      <c r="K170" s="35">
        <f>Table3[[#This Row],[Units Sold]]*Table3[[#This Row],[Unit Price]]</f>
        <v>176646.6</v>
      </c>
      <c r="L170">
        <f t="shared" si="2"/>
        <v>-6079.3200000000043</v>
      </c>
    </row>
    <row r="171" spans="1:12">
      <c r="A171" s="3" t="s">
        <v>195</v>
      </c>
      <c r="B171" s="3" t="s">
        <v>17</v>
      </c>
      <c r="C171" s="3" t="s">
        <v>12</v>
      </c>
      <c r="D171" s="3" t="s">
        <v>27</v>
      </c>
      <c r="E171" s="3" t="s">
        <v>14</v>
      </c>
      <c r="F171" s="3" t="s">
        <v>28</v>
      </c>
      <c r="G171" s="4">
        <v>45093</v>
      </c>
      <c r="H171">
        <v>67</v>
      </c>
      <c r="I171">
        <v>49.79</v>
      </c>
      <c r="J171" s="3">
        <v>267.61</v>
      </c>
      <c r="K171" s="35">
        <f>Table3[[#This Row],[Units Sold]]*Table3[[#This Row],[Unit Price]]</f>
        <v>3335.93</v>
      </c>
      <c r="L171">
        <f t="shared" si="2"/>
        <v>-14593.940000000002</v>
      </c>
    </row>
    <row r="172" spans="1:12">
      <c r="A172" s="3" t="s">
        <v>196</v>
      </c>
      <c r="B172" s="3" t="s">
        <v>11</v>
      </c>
      <c r="C172" s="3" t="s">
        <v>50</v>
      </c>
      <c r="D172" s="3" t="s">
        <v>42</v>
      </c>
      <c r="E172" s="3" t="s">
        <v>24</v>
      </c>
      <c r="F172" s="3" t="s">
        <v>15</v>
      </c>
      <c r="G172" s="4">
        <v>45094</v>
      </c>
      <c r="H172">
        <v>480</v>
      </c>
      <c r="I172">
        <v>147.9</v>
      </c>
      <c r="J172" s="3">
        <v>6.15</v>
      </c>
      <c r="K172" s="35">
        <f>Table3[[#This Row],[Units Sold]]*Table3[[#This Row],[Unit Price]]</f>
        <v>70992</v>
      </c>
      <c r="L172">
        <f t="shared" si="2"/>
        <v>68040</v>
      </c>
    </row>
    <row r="173" spans="1:12">
      <c r="A173" s="3" t="s">
        <v>197</v>
      </c>
      <c r="B173" s="3" t="s">
        <v>11</v>
      </c>
      <c r="C173" s="3" t="s">
        <v>18</v>
      </c>
      <c r="D173" s="3" t="s">
        <v>27</v>
      </c>
      <c r="E173" s="3" t="s">
        <v>24</v>
      </c>
      <c r="F173" s="3" t="s">
        <v>28</v>
      </c>
      <c r="G173" s="4">
        <v>45095</v>
      </c>
      <c r="H173">
        <v>35</v>
      </c>
      <c r="I173">
        <v>59.01</v>
      </c>
      <c r="J173" s="3">
        <v>103.65</v>
      </c>
      <c r="K173" s="35">
        <f>Table3[[#This Row],[Units Sold]]*Table3[[#This Row],[Unit Price]]</f>
        <v>2065.35</v>
      </c>
      <c r="L173">
        <f t="shared" si="2"/>
        <v>-1562.4000000000003</v>
      </c>
    </row>
    <row r="174" spans="1:12">
      <c r="A174" s="3" t="s">
        <v>198</v>
      </c>
      <c r="B174" s="3" t="s">
        <v>48</v>
      </c>
      <c r="C174" s="3" t="s">
        <v>26</v>
      </c>
      <c r="D174" s="3" t="s">
        <v>42</v>
      </c>
      <c r="E174" s="3" t="s">
        <v>24</v>
      </c>
      <c r="F174" s="3" t="s">
        <v>15</v>
      </c>
      <c r="G174" s="4">
        <v>45096</v>
      </c>
      <c r="H174">
        <v>491</v>
      </c>
      <c r="I174">
        <v>327</v>
      </c>
      <c r="J174" s="3">
        <v>105.76</v>
      </c>
      <c r="K174" s="35">
        <f>Table3[[#This Row],[Units Sold]]*Table3[[#This Row],[Unit Price]]</f>
        <v>160557</v>
      </c>
      <c r="L174">
        <f t="shared" si="2"/>
        <v>108628.84000000001</v>
      </c>
    </row>
    <row r="175" spans="1:12">
      <c r="A175" s="3" t="s">
        <v>199</v>
      </c>
      <c r="B175" s="3" t="s">
        <v>17</v>
      </c>
      <c r="C175" s="3" t="s">
        <v>26</v>
      </c>
      <c r="D175" s="3" t="s">
        <v>19</v>
      </c>
      <c r="E175" s="3" t="s">
        <v>24</v>
      </c>
      <c r="F175" s="3" t="s">
        <v>20</v>
      </c>
      <c r="G175" s="4">
        <v>45097</v>
      </c>
      <c r="H175">
        <v>439</v>
      </c>
      <c r="I175">
        <v>383.77</v>
      </c>
      <c r="J175" s="3">
        <v>29.56</v>
      </c>
      <c r="K175" s="35">
        <f>Table3[[#This Row],[Units Sold]]*Table3[[#This Row],[Unit Price]]</f>
        <v>168475.03</v>
      </c>
      <c r="L175">
        <f t="shared" si="2"/>
        <v>155498.19</v>
      </c>
    </row>
    <row r="176" spans="1:12">
      <c r="A176" s="3" t="s">
        <v>200</v>
      </c>
      <c r="B176" s="3" t="s">
        <v>22</v>
      </c>
      <c r="C176" s="3" t="s">
        <v>18</v>
      </c>
      <c r="D176" s="3" t="s">
        <v>19</v>
      </c>
      <c r="E176" s="3" t="s">
        <v>14</v>
      </c>
      <c r="F176" s="3" t="s">
        <v>20</v>
      </c>
      <c r="G176" s="4">
        <v>45098</v>
      </c>
      <c r="H176">
        <v>235</v>
      </c>
      <c r="I176">
        <v>463.21</v>
      </c>
      <c r="J176" s="3">
        <v>384.01</v>
      </c>
      <c r="K176" s="35">
        <f>Table3[[#This Row],[Units Sold]]*Table3[[#This Row],[Unit Price]]</f>
        <v>108854.34999999999</v>
      </c>
      <c r="L176">
        <f t="shared" si="2"/>
        <v>18611.999999999996</v>
      </c>
    </row>
    <row r="177" spans="1:12">
      <c r="A177" s="3" t="s">
        <v>201</v>
      </c>
      <c r="B177" s="3" t="s">
        <v>11</v>
      </c>
      <c r="C177" s="3" t="s">
        <v>26</v>
      </c>
      <c r="D177" s="3" t="s">
        <v>13</v>
      </c>
      <c r="E177" s="3" t="s">
        <v>14</v>
      </c>
      <c r="F177" s="3" t="s">
        <v>28</v>
      </c>
      <c r="G177" s="4">
        <v>45099</v>
      </c>
      <c r="H177">
        <v>294</v>
      </c>
      <c r="I177">
        <v>221.9</v>
      </c>
      <c r="J177" s="3">
        <v>192.35</v>
      </c>
      <c r="K177" s="35">
        <f>Table3[[#This Row],[Units Sold]]*Table3[[#This Row],[Unit Price]]</f>
        <v>65238.6</v>
      </c>
      <c r="L177">
        <f t="shared" si="2"/>
        <v>8687.7000000000025</v>
      </c>
    </row>
    <row r="178" spans="1:12">
      <c r="A178" s="3" t="s">
        <v>202</v>
      </c>
      <c r="B178" s="3" t="s">
        <v>17</v>
      </c>
      <c r="C178" s="3" t="s">
        <v>18</v>
      </c>
      <c r="D178" s="3" t="s">
        <v>27</v>
      </c>
      <c r="E178" s="3" t="s">
        <v>14</v>
      </c>
      <c r="F178" s="3" t="s">
        <v>15</v>
      </c>
      <c r="G178" s="4">
        <v>45100</v>
      </c>
      <c r="H178">
        <v>13</v>
      </c>
      <c r="I178">
        <v>451.18</v>
      </c>
      <c r="J178" s="3">
        <v>358.53</v>
      </c>
      <c r="K178" s="35">
        <f>Table3[[#This Row],[Units Sold]]*Table3[[#This Row],[Unit Price]]</f>
        <v>5865.34</v>
      </c>
      <c r="L178">
        <f t="shared" si="2"/>
        <v>1204.4500000000005</v>
      </c>
    </row>
    <row r="179" spans="1:12">
      <c r="A179" s="3" t="s">
        <v>203</v>
      </c>
      <c r="B179" s="3" t="s">
        <v>17</v>
      </c>
      <c r="C179" s="3" t="s">
        <v>50</v>
      </c>
      <c r="D179" s="3" t="s">
        <v>13</v>
      </c>
      <c r="E179" s="3" t="s">
        <v>14</v>
      </c>
      <c r="F179" s="3" t="s">
        <v>15</v>
      </c>
      <c r="G179" s="4">
        <v>45101</v>
      </c>
      <c r="H179">
        <v>474</v>
      </c>
      <c r="I179">
        <v>439.56</v>
      </c>
      <c r="J179" s="3">
        <v>130.24</v>
      </c>
      <c r="K179" s="35">
        <f>Table3[[#This Row],[Units Sold]]*Table3[[#This Row],[Unit Price]]</f>
        <v>208351.44</v>
      </c>
      <c r="L179">
        <f t="shared" si="2"/>
        <v>146617.68</v>
      </c>
    </row>
    <row r="180" spans="1:12">
      <c r="A180" s="3" t="s">
        <v>204</v>
      </c>
      <c r="B180" s="3" t="s">
        <v>48</v>
      </c>
      <c r="C180" s="3" t="s">
        <v>50</v>
      </c>
      <c r="D180" s="3" t="s">
        <v>27</v>
      </c>
      <c r="E180" s="3" t="s">
        <v>24</v>
      </c>
      <c r="F180" s="3" t="s">
        <v>28</v>
      </c>
      <c r="G180" s="4">
        <v>45102</v>
      </c>
      <c r="H180">
        <v>108</v>
      </c>
      <c r="I180">
        <v>162.01</v>
      </c>
      <c r="J180" s="3">
        <v>51.84</v>
      </c>
      <c r="K180" s="35">
        <f>Table3[[#This Row],[Units Sold]]*Table3[[#This Row],[Unit Price]]</f>
        <v>17497.079999999998</v>
      </c>
      <c r="L180">
        <f t="shared" si="2"/>
        <v>11898.359999999999</v>
      </c>
    </row>
    <row r="181" spans="1:12">
      <c r="A181" s="3" t="s">
        <v>205</v>
      </c>
      <c r="B181" s="3" t="s">
        <v>11</v>
      </c>
      <c r="C181" s="3" t="s">
        <v>18</v>
      </c>
      <c r="D181" s="3" t="s">
        <v>13</v>
      </c>
      <c r="E181" s="3" t="s">
        <v>14</v>
      </c>
      <c r="F181" s="3" t="s">
        <v>20</v>
      </c>
      <c r="G181" s="4">
        <v>45103</v>
      </c>
      <c r="H181">
        <v>406</v>
      </c>
      <c r="I181">
        <v>435.11</v>
      </c>
      <c r="J181" s="3">
        <v>190.79</v>
      </c>
      <c r="K181" s="35">
        <f>Table3[[#This Row],[Units Sold]]*Table3[[#This Row],[Unit Price]]</f>
        <v>176654.66</v>
      </c>
      <c r="L181">
        <f t="shared" si="2"/>
        <v>99193.920000000013</v>
      </c>
    </row>
    <row r="182" spans="1:12">
      <c r="A182" s="3" t="s">
        <v>206</v>
      </c>
      <c r="B182" s="3" t="s">
        <v>11</v>
      </c>
      <c r="C182" s="3" t="s">
        <v>50</v>
      </c>
      <c r="D182" s="3" t="s">
        <v>23</v>
      </c>
      <c r="E182" s="3" t="s">
        <v>14</v>
      </c>
      <c r="F182" s="3" t="s">
        <v>28</v>
      </c>
      <c r="G182" s="4">
        <v>45104</v>
      </c>
      <c r="H182">
        <v>498</v>
      </c>
      <c r="I182">
        <v>190.96</v>
      </c>
      <c r="J182" s="3">
        <v>47.35</v>
      </c>
      <c r="K182" s="35">
        <f>Table3[[#This Row],[Units Sold]]*Table3[[#This Row],[Unit Price]]</f>
        <v>95098.08</v>
      </c>
      <c r="L182">
        <f t="shared" si="2"/>
        <v>71517.780000000013</v>
      </c>
    </row>
    <row r="183" spans="1:12">
      <c r="A183" s="3" t="s">
        <v>207</v>
      </c>
      <c r="B183" s="3" t="s">
        <v>22</v>
      </c>
      <c r="C183" s="3" t="s">
        <v>50</v>
      </c>
      <c r="D183" s="3" t="s">
        <v>23</v>
      </c>
      <c r="E183" s="3" t="s">
        <v>24</v>
      </c>
      <c r="F183" s="3" t="s">
        <v>20</v>
      </c>
      <c r="G183" s="4">
        <v>45105</v>
      </c>
      <c r="H183">
        <v>48</v>
      </c>
      <c r="I183">
        <v>151.94999999999999</v>
      </c>
      <c r="J183" s="3">
        <v>195.43</v>
      </c>
      <c r="K183" s="35">
        <f>Table3[[#This Row],[Units Sold]]*Table3[[#This Row],[Unit Price]]</f>
        <v>7293.5999999999995</v>
      </c>
      <c r="L183">
        <f t="shared" si="2"/>
        <v>-2087.0400000000009</v>
      </c>
    </row>
    <row r="184" spans="1:12">
      <c r="A184" s="3" t="s">
        <v>208</v>
      </c>
      <c r="B184" s="3" t="s">
        <v>11</v>
      </c>
      <c r="C184" s="3" t="s">
        <v>50</v>
      </c>
      <c r="D184" s="3" t="s">
        <v>23</v>
      </c>
      <c r="E184" s="3" t="s">
        <v>14</v>
      </c>
      <c r="F184" s="3" t="s">
        <v>15</v>
      </c>
      <c r="G184" s="4">
        <v>45106</v>
      </c>
      <c r="H184">
        <v>280</v>
      </c>
      <c r="I184">
        <v>326.29000000000002</v>
      </c>
      <c r="J184" s="3">
        <v>368.28</v>
      </c>
      <c r="K184" s="35">
        <f>Table3[[#This Row],[Units Sold]]*Table3[[#This Row],[Unit Price]]</f>
        <v>91361.200000000012</v>
      </c>
      <c r="L184">
        <f t="shared" si="2"/>
        <v>-11757.199999999986</v>
      </c>
    </row>
    <row r="185" spans="1:12">
      <c r="A185" s="3" t="s">
        <v>209</v>
      </c>
      <c r="B185" s="3" t="s">
        <v>22</v>
      </c>
      <c r="C185" s="3" t="s">
        <v>31</v>
      </c>
      <c r="D185" s="3" t="s">
        <v>23</v>
      </c>
      <c r="E185" s="3" t="s">
        <v>14</v>
      </c>
      <c r="F185" s="3" t="s">
        <v>20</v>
      </c>
      <c r="G185" s="4">
        <v>45107</v>
      </c>
      <c r="H185">
        <v>384</v>
      </c>
      <c r="I185">
        <v>167.55</v>
      </c>
      <c r="J185" s="3">
        <v>209.27</v>
      </c>
      <c r="K185" s="35">
        <f>Table3[[#This Row],[Units Sold]]*Table3[[#This Row],[Unit Price]]</f>
        <v>64339.200000000004</v>
      </c>
      <c r="L185">
        <f t="shared" si="2"/>
        <v>-16020.48</v>
      </c>
    </row>
    <row r="186" spans="1:12">
      <c r="A186" s="3" t="s">
        <v>210</v>
      </c>
      <c r="B186" s="3" t="s">
        <v>11</v>
      </c>
      <c r="C186" s="3" t="s">
        <v>12</v>
      </c>
      <c r="D186" s="3" t="s">
        <v>42</v>
      </c>
      <c r="E186" s="3" t="s">
        <v>14</v>
      </c>
      <c r="F186" s="3" t="s">
        <v>28</v>
      </c>
      <c r="G186" s="4">
        <v>45108</v>
      </c>
      <c r="H186">
        <v>294</v>
      </c>
      <c r="I186">
        <v>316.95</v>
      </c>
      <c r="J186" s="3">
        <v>247.37</v>
      </c>
      <c r="K186" s="35">
        <f>Table3[[#This Row],[Units Sold]]*Table3[[#This Row],[Unit Price]]</f>
        <v>93183.3</v>
      </c>
      <c r="L186">
        <f t="shared" si="2"/>
        <v>20456.519999999997</v>
      </c>
    </row>
    <row r="187" spans="1:12">
      <c r="A187" s="3" t="s">
        <v>211</v>
      </c>
      <c r="B187" s="3" t="s">
        <v>48</v>
      </c>
      <c r="C187" s="3" t="s">
        <v>26</v>
      </c>
      <c r="D187" s="3" t="s">
        <v>23</v>
      </c>
      <c r="E187" s="3" t="s">
        <v>14</v>
      </c>
      <c r="F187" s="3" t="s">
        <v>15</v>
      </c>
      <c r="G187" s="4">
        <v>45109</v>
      </c>
      <c r="H187">
        <v>166</v>
      </c>
      <c r="I187">
        <v>306.87</v>
      </c>
      <c r="J187" s="3">
        <v>64.34</v>
      </c>
      <c r="K187" s="35">
        <f>Table3[[#This Row],[Units Sold]]*Table3[[#This Row],[Unit Price]]</f>
        <v>50940.42</v>
      </c>
      <c r="L187">
        <f t="shared" si="2"/>
        <v>40259.980000000003</v>
      </c>
    </row>
    <row r="188" spans="1:12">
      <c r="A188" s="3" t="s">
        <v>212</v>
      </c>
      <c r="B188" s="3" t="s">
        <v>11</v>
      </c>
      <c r="C188" s="3" t="s">
        <v>31</v>
      </c>
      <c r="D188" s="3" t="s">
        <v>19</v>
      </c>
      <c r="E188" s="3" t="s">
        <v>14</v>
      </c>
      <c r="F188" s="3" t="s">
        <v>28</v>
      </c>
      <c r="G188" s="4">
        <v>45110</v>
      </c>
      <c r="H188">
        <v>84</v>
      </c>
      <c r="I188">
        <v>283.89999999999998</v>
      </c>
      <c r="J188" s="3">
        <v>19.41</v>
      </c>
      <c r="K188" s="35">
        <f>Table3[[#This Row],[Units Sold]]*Table3[[#This Row],[Unit Price]]</f>
        <v>23847.599999999999</v>
      </c>
      <c r="L188">
        <f t="shared" si="2"/>
        <v>22217.159999999996</v>
      </c>
    </row>
    <row r="189" spans="1:12">
      <c r="A189" s="3" t="s">
        <v>213</v>
      </c>
      <c r="B189" s="3" t="s">
        <v>22</v>
      </c>
      <c r="C189" s="3" t="s">
        <v>50</v>
      </c>
      <c r="D189" s="3" t="s">
        <v>19</v>
      </c>
      <c r="E189" s="3" t="s">
        <v>14</v>
      </c>
      <c r="F189" s="3" t="s">
        <v>28</v>
      </c>
      <c r="G189" s="4">
        <v>45111</v>
      </c>
      <c r="H189">
        <v>381</v>
      </c>
      <c r="I189">
        <v>193.31</v>
      </c>
      <c r="J189" s="3">
        <v>46.1</v>
      </c>
      <c r="K189" s="35">
        <f>Table3[[#This Row],[Units Sold]]*Table3[[#This Row],[Unit Price]]</f>
        <v>73651.11</v>
      </c>
      <c r="L189">
        <f t="shared" si="2"/>
        <v>56087.01</v>
      </c>
    </row>
    <row r="190" spans="1:12">
      <c r="A190" s="3" t="s">
        <v>214</v>
      </c>
      <c r="B190" s="3" t="s">
        <v>22</v>
      </c>
      <c r="C190" s="3" t="s">
        <v>18</v>
      </c>
      <c r="D190" s="3" t="s">
        <v>42</v>
      </c>
      <c r="E190" s="3" t="s">
        <v>24</v>
      </c>
      <c r="F190" s="3" t="s">
        <v>20</v>
      </c>
      <c r="G190" s="4">
        <v>45112</v>
      </c>
      <c r="H190">
        <v>297</v>
      </c>
      <c r="I190">
        <v>276.51</v>
      </c>
      <c r="J190" s="3">
        <v>240.22</v>
      </c>
      <c r="K190" s="35">
        <f>Table3[[#This Row],[Units Sold]]*Table3[[#This Row],[Unit Price]]</f>
        <v>82123.47</v>
      </c>
      <c r="L190">
        <f t="shared" si="2"/>
        <v>10778.129999999997</v>
      </c>
    </row>
    <row r="191" spans="1:12">
      <c r="A191" s="3" t="s">
        <v>215</v>
      </c>
      <c r="B191" s="3" t="s">
        <v>48</v>
      </c>
      <c r="C191" s="3" t="s">
        <v>50</v>
      </c>
      <c r="D191" s="3" t="s">
        <v>23</v>
      </c>
      <c r="E191" s="3" t="s">
        <v>24</v>
      </c>
      <c r="F191" s="3" t="s">
        <v>28</v>
      </c>
      <c r="G191" s="4">
        <v>45113</v>
      </c>
      <c r="H191">
        <v>139</v>
      </c>
      <c r="I191">
        <v>300.26</v>
      </c>
      <c r="J191" s="3">
        <v>39.81</v>
      </c>
      <c r="K191" s="35">
        <f>Table3[[#This Row],[Units Sold]]*Table3[[#This Row],[Unit Price]]</f>
        <v>41736.14</v>
      </c>
      <c r="L191">
        <f t="shared" si="2"/>
        <v>36202.549999999996</v>
      </c>
    </row>
    <row r="192" spans="1:12">
      <c r="A192" s="3" t="s">
        <v>216</v>
      </c>
      <c r="B192" s="3" t="s">
        <v>11</v>
      </c>
      <c r="C192" s="3" t="s">
        <v>12</v>
      </c>
      <c r="D192" s="3" t="s">
        <v>23</v>
      </c>
      <c r="E192" s="3" t="s">
        <v>14</v>
      </c>
      <c r="F192" s="3" t="s">
        <v>20</v>
      </c>
      <c r="G192" s="4">
        <v>45114</v>
      </c>
      <c r="H192">
        <v>184</v>
      </c>
      <c r="I192">
        <v>275.12</v>
      </c>
      <c r="J192" s="3">
        <v>151.65</v>
      </c>
      <c r="K192" s="35">
        <f>Table3[[#This Row],[Units Sold]]*Table3[[#This Row],[Unit Price]]</f>
        <v>50622.080000000002</v>
      </c>
      <c r="L192">
        <f t="shared" si="2"/>
        <v>22718.48</v>
      </c>
    </row>
    <row r="193" spans="1:12">
      <c r="A193" s="3" t="s">
        <v>217</v>
      </c>
      <c r="B193" s="3" t="s">
        <v>11</v>
      </c>
      <c r="C193" s="3" t="s">
        <v>50</v>
      </c>
      <c r="D193" s="3" t="s">
        <v>23</v>
      </c>
      <c r="E193" s="3" t="s">
        <v>14</v>
      </c>
      <c r="F193" s="3" t="s">
        <v>15</v>
      </c>
      <c r="G193" s="4">
        <v>45115</v>
      </c>
      <c r="H193">
        <v>471</v>
      </c>
      <c r="I193">
        <v>224.99</v>
      </c>
      <c r="J193" s="3">
        <v>220.94</v>
      </c>
      <c r="K193" s="35">
        <f>Table3[[#This Row],[Units Sold]]*Table3[[#This Row],[Unit Price]]</f>
        <v>105970.29000000001</v>
      </c>
      <c r="L193">
        <f t="shared" si="2"/>
        <v>1907.5500000000054</v>
      </c>
    </row>
    <row r="194" spans="1:12">
      <c r="A194" s="3" t="s">
        <v>218</v>
      </c>
      <c r="B194" s="3" t="s">
        <v>48</v>
      </c>
      <c r="C194" s="3" t="s">
        <v>18</v>
      </c>
      <c r="D194" s="3" t="s">
        <v>13</v>
      </c>
      <c r="E194" s="3" t="s">
        <v>24</v>
      </c>
      <c r="F194" s="3" t="s">
        <v>20</v>
      </c>
      <c r="G194" s="4">
        <v>45116</v>
      </c>
      <c r="H194">
        <v>93</v>
      </c>
      <c r="I194">
        <v>12.26</v>
      </c>
      <c r="J194" s="3">
        <v>156.68</v>
      </c>
      <c r="K194" s="35">
        <f>Table3[[#This Row],[Units Sold]]*Table3[[#This Row],[Unit Price]]</f>
        <v>1140.18</v>
      </c>
      <c r="L194">
        <f t="shared" si="2"/>
        <v>-13431.060000000001</v>
      </c>
    </row>
    <row r="195" spans="1:12">
      <c r="A195" s="3" t="s">
        <v>219</v>
      </c>
      <c r="B195" s="3" t="s">
        <v>11</v>
      </c>
      <c r="C195" s="3" t="s">
        <v>12</v>
      </c>
      <c r="D195" s="3" t="s">
        <v>27</v>
      </c>
      <c r="E195" s="3" t="s">
        <v>14</v>
      </c>
      <c r="F195" s="3" t="s">
        <v>15</v>
      </c>
      <c r="G195" s="4">
        <v>45117</v>
      </c>
      <c r="H195">
        <v>31</v>
      </c>
      <c r="I195">
        <v>295.60000000000002</v>
      </c>
      <c r="J195" s="3">
        <v>67.150000000000006</v>
      </c>
      <c r="K195" s="35">
        <f>Table3[[#This Row],[Units Sold]]*Table3[[#This Row],[Unit Price]]</f>
        <v>9163.6</v>
      </c>
      <c r="L195">
        <f t="shared" si="2"/>
        <v>7081.9500000000007</v>
      </c>
    </row>
    <row r="196" spans="1:12">
      <c r="A196" s="3" t="s">
        <v>220</v>
      </c>
      <c r="B196" s="3" t="s">
        <v>11</v>
      </c>
      <c r="C196" s="3" t="s">
        <v>50</v>
      </c>
      <c r="D196" s="3" t="s">
        <v>13</v>
      </c>
      <c r="E196" s="3" t="s">
        <v>14</v>
      </c>
      <c r="F196" s="3" t="s">
        <v>20</v>
      </c>
      <c r="G196" s="4">
        <v>45118</v>
      </c>
      <c r="H196">
        <v>468</v>
      </c>
      <c r="I196">
        <v>88.38</v>
      </c>
      <c r="J196" s="3">
        <v>110.97</v>
      </c>
      <c r="K196" s="35">
        <f>Table3[[#This Row],[Units Sold]]*Table3[[#This Row],[Unit Price]]</f>
        <v>41361.839999999997</v>
      </c>
      <c r="L196">
        <f t="shared" si="2"/>
        <v>-10572.12</v>
      </c>
    </row>
    <row r="197" spans="1:12">
      <c r="A197" s="3" t="s">
        <v>221</v>
      </c>
      <c r="B197" s="3" t="s">
        <v>22</v>
      </c>
      <c r="C197" s="3" t="s">
        <v>12</v>
      </c>
      <c r="D197" s="3" t="s">
        <v>27</v>
      </c>
      <c r="E197" s="3" t="s">
        <v>14</v>
      </c>
      <c r="F197" s="3" t="s">
        <v>28</v>
      </c>
      <c r="G197" s="4">
        <v>45119</v>
      </c>
      <c r="H197">
        <v>36</v>
      </c>
      <c r="I197">
        <v>323.08</v>
      </c>
      <c r="J197" s="3">
        <v>371.47</v>
      </c>
      <c r="K197" s="35">
        <f>Table3[[#This Row],[Units Sold]]*Table3[[#This Row],[Unit Price]]</f>
        <v>11630.88</v>
      </c>
      <c r="L197">
        <f t="shared" si="2"/>
        <v>-1742.0400000000016</v>
      </c>
    </row>
    <row r="198" spans="1:12">
      <c r="A198" s="3" t="s">
        <v>222</v>
      </c>
      <c r="B198" s="3" t="s">
        <v>11</v>
      </c>
      <c r="C198" s="3" t="s">
        <v>26</v>
      </c>
      <c r="D198" s="3" t="s">
        <v>23</v>
      </c>
      <c r="E198" s="3" t="s">
        <v>24</v>
      </c>
      <c r="F198" s="3" t="s">
        <v>20</v>
      </c>
      <c r="G198" s="4">
        <v>45120</v>
      </c>
      <c r="H198">
        <v>204</v>
      </c>
      <c r="I198">
        <v>380.88</v>
      </c>
      <c r="J198" s="3">
        <v>271.04000000000002</v>
      </c>
      <c r="K198" s="35">
        <f>Table3[[#This Row],[Units Sold]]*Table3[[#This Row],[Unit Price]]</f>
        <v>77699.520000000004</v>
      </c>
      <c r="L198">
        <f t="shared" ref="L198:L261" si="3">(I198-J198)*H198</f>
        <v>22407.359999999993</v>
      </c>
    </row>
    <row r="199" spans="1:12">
      <c r="A199" s="3" t="s">
        <v>223</v>
      </c>
      <c r="B199" s="3" t="s">
        <v>11</v>
      </c>
      <c r="C199" s="3" t="s">
        <v>26</v>
      </c>
      <c r="D199" s="3" t="s">
        <v>23</v>
      </c>
      <c r="E199" s="3" t="s">
        <v>14</v>
      </c>
      <c r="F199" s="3" t="s">
        <v>20</v>
      </c>
      <c r="G199" s="4">
        <v>45121</v>
      </c>
      <c r="H199">
        <v>346</v>
      </c>
      <c r="I199">
        <v>252.72</v>
      </c>
      <c r="J199" s="3">
        <v>199.43</v>
      </c>
      <c r="K199" s="35">
        <f>Table3[[#This Row],[Units Sold]]*Table3[[#This Row],[Unit Price]]</f>
        <v>87441.12</v>
      </c>
      <c r="L199">
        <f t="shared" si="3"/>
        <v>18438.339999999997</v>
      </c>
    </row>
    <row r="200" spans="1:12">
      <c r="A200" s="3" t="s">
        <v>224</v>
      </c>
      <c r="B200" s="3" t="s">
        <v>48</v>
      </c>
      <c r="C200" s="3" t="s">
        <v>50</v>
      </c>
      <c r="D200" s="3" t="s">
        <v>13</v>
      </c>
      <c r="E200" s="3" t="s">
        <v>24</v>
      </c>
      <c r="F200" s="3" t="s">
        <v>15</v>
      </c>
      <c r="G200" s="4">
        <v>45122</v>
      </c>
      <c r="H200">
        <v>391</v>
      </c>
      <c r="I200">
        <v>273.47000000000003</v>
      </c>
      <c r="J200" s="3">
        <v>7.06</v>
      </c>
      <c r="K200" s="35">
        <f>Table3[[#This Row],[Units Sold]]*Table3[[#This Row],[Unit Price]]</f>
        <v>106926.77</v>
      </c>
      <c r="L200">
        <f t="shared" si="3"/>
        <v>104166.31000000001</v>
      </c>
    </row>
    <row r="201" spans="1:12">
      <c r="A201" s="3" t="s">
        <v>225</v>
      </c>
      <c r="B201" s="3" t="s">
        <v>48</v>
      </c>
      <c r="C201" s="3" t="s">
        <v>12</v>
      </c>
      <c r="D201" s="3" t="s">
        <v>13</v>
      </c>
      <c r="E201" s="3" t="s">
        <v>14</v>
      </c>
      <c r="F201" s="3" t="s">
        <v>28</v>
      </c>
      <c r="G201" s="4">
        <v>45123</v>
      </c>
      <c r="H201">
        <v>245</v>
      </c>
      <c r="I201">
        <v>475.98</v>
      </c>
      <c r="J201" s="3">
        <v>396.98</v>
      </c>
      <c r="K201" s="35">
        <f>Table3[[#This Row],[Units Sold]]*Table3[[#This Row],[Unit Price]]</f>
        <v>116615.1</v>
      </c>
      <c r="L201">
        <f t="shared" si="3"/>
        <v>19355</v>
      </c>
    </row>
    <row r="202" spans="1:12">
      <c r="A202" s="3" t="s">
        <v>226</v>
      </c>
      <c r="B202" s="3" t="s">
        <v>17</v>
      </c>
      <c r="C202" s="3" t="s">
        <v>18</v>
      </c>
      <c r="D202" s="3" t="s">
        <v>27</v>
      </c>
      <c r="E202" s="3" t="s">
        <v>24</v>
      </c>
      <c r="F202" s="3" t="s">
        <v>20</v>
      </c>
      <c r="G202" s="4">
        <v>45124</v>
      </c>
      <c r="H202">
        <v>449</v>
      </c>
      <c r="I202">
        <v>424.35</v>
      </c>
      <c r="J202" s="3">
        <v>269.24</v>
      </c>
      <c r="K202" s="35">
        <f>Table3[[#This Row],[Units Sold]]*Table3[[#This Row],[Unit Price]]</f>
        <v>190533.15000000002</v>
      </c>
      <c r="L202">
        <f t="shared" si="3"/>
        <v>69644.39</v>
      </c>
    </row>
    <row r="203" spans="1:12">
      <c r="A203" s="3" t="s">
        <v>227</v>
      </c>
      <c r="B203" s="3" t="s">
        <v>22</v>
      </c>
      <c r="C203" s="3" t="s">
        <v>50</v>
      </c>
      <c r="D203" s="3" t="s">
        <v>19</v>
      </c>
      <c r="E203" s="3" t="s">
        <v>24</v>
      </c>
      <c r="F203" s="3" t="s">
        <v>28</v>
      </c>
      <c r="G203" s="4">
        <v>45125</v>
      </c>
      <c r="H203">
        <v>101</v>
      </c>
      <c r="I203">
        <v>457.55</v>
      </c>
      <c r="J203" s="3">
        <v>128.13999999999999</v>
      </c>
      <c r="K203" s="35">
        <f>Table3[[#This Row],[Units Sold]]*Table3[[#This Row],[Unit Price]]</f>
        <v>46212.55</v>
      </c>
      <c r="L203">
        <f t="shared" si="3"/>
        <v>33270.410000000003</v>
      </c>
    </row>
    <row r="204" spans="1:12">
      <c r="A204" s="3" t="s">
        <v>228</v>
      </c>
      <c r="B204" s="3" t="s">
        <v>11</v>
      </c>
      <c r="C204" s="3" t="s">
        <v>26</v>
      </c>
      <c r="D204" s="3" t="s">
        <v>27</v>
      </c>
      <c r="E204" s="3" t="s">
        <v>14</v>
      </c>
      <c r="F204" s="3" t="s">
        <v>20</v>
      </c>
      <c r="G204" s="4">
        <v>45126</v>
      </c>
      <c r="H204">
        <v>248.5</v>
      </c>
      <c r="I204">
        <v>407.81</v>
      </c>
      <c r="J204" s="3">
        <v>351.95</v>
      </c>
      <c r="K204" s="35">
        <f>Table3[[#This Row],[Units Sold]]*Table3[[#This Row],[Unit Price]]</f>
        <v>101340.785</v>
      </c>
      <c r="L204">
        <f t="shared" si="3"/>
        <v>13881.210000000003</v>
      </c>
    </row>
    <row r="205" spans="1:12">
      <c r="A205" s="3" t="s">
        <v>229</v>
      </c>
      <c r="B205" s="3" t="s">
        <v>11</v>
      </c>
      <c r="C205" s="3" t="s">
        <v>26</v>
      </c>
      <c r="D205" s="3" t="s">
        <v>13</v>
      </c>
      <c r="E205" s="3" t="s">
        <v>24</v>
      </c>
      <c r="F205" s="3" t="s">
        <v>20</v>
      </c>
      <c r="G205" s="4">
        <v>45127</v>
      </c>
      <c r="H205">
        <v>30</v>
      </c>
      <c r="I205">
        <v>58.91</v>
      </c>
      <c r="J205" s="3">
        <v>104.86</v>
      </c>
      <c r="K205" s="35">
        <f>Table3[[#This Row],[Units Sold]]*Table3[[#This Row],[Unit Price]]</f>
        <v>1767.3</v>
      </c>
      <c r="L205">
        <f t="shared" si="3"/>
        <v>-1378.5</v>
      </c>
    </row>
    <row r="206" spans="1:12">
      <c r="A206" s="3" t="s">
        <v>230</v>
      </c>
      <c r="B206" s="3" t="s">
        <v>17</v>
      </c>
      <c r="C206" s="3" t="s">
        <v>50</v>
      </c>
      <c r="D206" s="3" t="s">
        <v>13</v>
      </c>
      <c r="E206" s="3" t="s">
        <v>14</v>
      </c>
      <c r="F206" s="3" t="s">
        <v>28</v>
      </c>
      <c r="G206" s="4">
        <v>45128</v>
      </c>
      <c r="H206">
        <v>312</v>
      </c>
      <c r="I206">
        <v>78.75</v>
      </c>
      <c r="J206" s="3">
        <v>218.52</v>
      </c>
      <c r="K206" s="35">
        <f>Table3[[#This Row],[Units Sold]]*Table3[[#This Row],[Unit Price]]</f>
        <v>24570</v>
      </c>
      <c r="L206">
        <f t="shared" si="3"/>
        <v>-43608.240000000005</v>
      </c>
    </row>
    <row r="207" spans="1:12">
      <c r="A207" s="3" t="s">
        <v>231</v>
      </c>
      <c r="B207" s="3" t="s">
        <v>11</v>
      </c>
      <c r="C207" s="3" t="s">
        <v>12</v>
      </c>
      <c r="D207" s="3" t="s">
        <v>42</v>
      </c>
      <c r="E207" s="3" t="s">
        <v>24</v>
      </c>
      <c r="F207" s="3" t="s">
        <v>20</v>
      </c>
      <c r="G207" s="4">
        <v>45129</v>
      </c>
      <c r="H207">
        <v>473</v>
      </c>
      <c r="I207">
        <v>265.68</v>
      </c>
      <c r="J207" s="3">
        <v>255.16</v>
      </c>
      <c r="K207" s="35">
        <f>Table3[[#This Row],[Units Sold]]*Table3[[#This Row],[Unit Price]]</f>
        <v>125666.64</v>
      </c>
      <c r="L207">
        <f t="shared" si="3"/>
        <v>4975.9600000000046</v>
      </c>
    </row>
    <row r="208" spans="1:12">
      <c r="A208" s="3" t="s">
        <v>232</v>
      </c>
      <c r="B208" s="3" t="s">
        <v>22</v>
      </c>
      <c r="C208" s="3" t="s">
        <v>26</v>
      </c>
      <c r="D208" s="3" t="s">
        <v>13</v>
      </c>
      <c r="E208" s="3" t="s">
        <v>14</v>
      </c>
      <c r="F208" s="3" t="s">
        <v>28</v>
      </c>
      <c r="G208" s="4">
        <v>45130</v>
      </c>
      <c r="H208">
        <v>366</v>
      </c>
      <c r="I208">
        <v>126.8</v>
      </c>
      <c r="J208" s="3">
        <v>89.98</v>
      </c>
      <c r="K208" s="35">
        <f>Table3[[#This Row],[Units Sold]]*Table3[[#This Row],[Unit Price]]</f>
        <v>46408.799999999996</v>
      </c>
      <c r="L208">
        <f t="shared" si="3"/>
        <v>13476.119999999997</v>
      </c>
    </row>
    <row r="209" spans="1:12">
      <c r="A209" s="3" t="s">
        <v>233</v>
      </c>
      <c r="B209" s="3" t="s">
        <v>17</v>
      </c>
      <c r="C209" s="3" t="s">
        <v>12</v>
      </c>
      <c r="D209" s="3" t="s">
        <v>42</v>
      </c>
      <c r="E209" s="3" t="s">
        <v>14</v>
      </c>
      <c r="F209" s="3" t="s">
        <v>20</v>
      </c>
      <c r="G209" s="4">
        <v>45131</v>
      </c>
      <c r="H209">
        <v>452</v>
      </c>
      <c r="I209">
        <v>240.96</v>
      </c>
      <c r="J209" s="3">
        <v>391.4</v>
      </c>
      <c r="K209" s="35">
        <f>Table3[[#This Row],[Units Sold]]*Table3[[#This Row],[Unit Price]]</f>
        <v>108913.92</v>
      </c>
      <c r="L209">
        <f t="shared" si="3"/>
        <v>-67998.87999999999</v>
      </c>
    </row>
    <row r="210" spans="1:12">
      <c r="A210" s="3" t="s">
        <v>234</v>
      </c>
      <c r="B210" s="3" t="s">
        <v>22</v>
      </c>
      <c r="C210" s="3" t="s">
        <v>26</v>
      </c>
      <c r="D210" s="3" t="s">
        <v>19</v>
      </c>
      <c r="E210" s="3" t="s">
        <v>24</v>
      </c>
      <c r="F210" s="3" t="s">
        <v>15</v>
      </c>
      <c r="G210" s="4">
        <v>45132</v>
      </c>
      <c r="H210">
        <v>93</v>
      </c>
      <c r="I210">
        <v>200.21</v>
      </c>
      <c r="J210" s="3">
        <v>299.77999999999997</v>
      </c>
      <c r="K210" s="35">
        <f>Table3[[#This Row],[Units Sold]]*Table3[[#This Row],[Unit Price]]</f>
        <v>18619.530000000002</v>
      </c>
      <c r="L210">
        <f t="shared" si="3"/>
        <v>-9260.0099999999966</v>
      </c>
    </row>
    <row r="211" spans="1:12">
      <c r="A211" s="3" t="s">
        <v>235</v>
      </c>
      <c r="B211" s="3" t="s">
        <v>17</v>
      </c>
      <c r="C211" s="3" t="s">
        <v>26</v>
      </c>
      <c r="D211" s="3" t="s">
        <v>27</v>
      </c>
      <c r="E211" s="3" t="s">
        <v>14</v>
      </c>
      <c r="F211" s="3" t="s">
        <v>28</v>
      </c>
      <c r="G211" s="4">
        <v>45133</v>
      </c>
      <c r="H211">
        <v>271</v>
      </c>
      <c r="I211">
        <v>276.95999999999998</v>
      </c>
      <c r="J211" s="3">
        <v>224.01</v>
      </c>
      <c r="K211" s="35">
        <f>Table3[[#This Row],[Units Sold]]*Table3[[#This Row],[Unit Price]]</f>
        <v>75056.159999999989</v>
      </c>
      <c r="L211">
        <f t="shared" si="3"/>
        <v>14349.449999999997</v>
      </c>
    </row>
    <row r="212" spans="1:12">
      <c r="A212" s="3" t="s">
        <v>236</v>
      </c>
      <c r="B212" s="3" t="s">
        <v>17</v>
      </c>
      <c r="C212" s="3" t="s">
        <v>31</v>
      </c>
      <c r="D212" s="3" t="s">
        <v>27</v>
      </c>
      <c r="E212" s="3" t="s">
        <v>14</v>
      </c>
      <c r="F212" s="3" t="s">
        <v>20</v>
      </c>
      <c r="G212" s="4">
        <v>45134</v>
      </c>
      <c r="H212">
        <v>156</v>
      </c>
      <c r="I212">
        <v>374.7</v>
      </c>
      <c r="J212" s="3">
        <v>73.88</v>
      </c>
      <c r="K212" s="35">
        <f>Table3[[#This Row],[Units Sold]]*Table3[[#This Row],[Unit Price]]</f>
        <v>58453.2</v>
      </c>
      <c r="L212">
        <f t="shared" si="3"/>
        <v>46927.92</v>
      </c>
    </row>
    <row r="213" spans="1:12">
      <c r="A213" s="3" t="s">
        <v>237</v>
      </c>
      <c r="B213" s="3" t="s">
        <v>48</v>
      </c>
      <c r="C213" s="3" t="s">
        <v>26</v>
      </c>
      <c r="D213" s="3" t="s">
        <v>42</v>
      </c>
      <c r="E213" s="3" t="s">
        <v>24</v>
      </c>
      <c r="F213" s="3" t="s">
        <v>20</v>
      </c>
      <c r="G213" s="4">
        <v>45135</v>
      </c>
      <c r="H213">
        <v>450</v>
      </c>
      <c r="I213">
        <v>359.17</v>
      </c>
      <c r="J213" s="3">
        <v>23.44</v>
      </c>
      <c r="K213" s="35">
        <f>Table3[[#This Row],[Units Sold]]*Table3[[#This Row],[Unit Price]]</f>
        <v>161626.5</v>
      </c>
      <c r="L213">
        <f t="shared" si="3"/>
        <v>151078.5</v>
      </c>
    </row>
    <row r="214" spans="1:12">
      <c r="A214" s="3" t="s">
        <v>238</v>
      </c>
      <c r="B214" s="3" t="s">
        <v>22</v>
      </c>
      <c r="C214" s="3" t="s">
        <v>18</v>
      </c>
      <c r="D214" s="3" t="s">
        <v>27</v>
      </c>
      <c r="E214" s="3" t="s">
        <v>14</v>
      </c>
      <c r="F214" s="3" t="s">
        <v>15</v>
      </c>
      <c r="G214" s="4">
        <v>45136</v>
      </c>
      <c r="H214">
        <v>462</v>
      </c>
      <c r="I214">
        <v>263.01</v>
      </c>
      <c r="J214" s="3">
        <v>129.38</v>
      </c>
      <c r="K214" s="35">
        <f>Table3[[#This Row],[Units Sold]]*Table3[[#This Row],[Unit Price]]</f>
        <v>121510.62</v>
      </c>
      <c r="L214">
        <f t="shared" si="3"/>
        <v>61737.06</v>
      </c>
    </row>
    <row r="215" spans="1:12">
      <c r="A215" s="3" t="s">
        <v>239</v>
      </c>
      <c r="B215" s="3" t="s">
        <v>11</v>
      </c>
      <c r="C215" s="3" t="s">
        <v>50</v>
      </c>
      <c r="E215" s="3" t="s">
        <v>14</v>
      </c>
      <c r="F215" s="3" t="s">
        <v>28</v>
      </c>
      <c r="G215" s="4">
        <v>45137</v>
      </c>
      <c r="H215">
        <v>396</v>
      </c>
      <c r="I215">
        <v>412.08</v>
      </c>
      <c r="J215" s="3">
        <v>301.77</v>
      </c>
      <c r="K215" s="35">
        <f>Table3[[#This Row],[Units Sold]]*Table3[[#This Row],[Unit Price]]</f>
        <v>163183.67999999999</v>
      </c>
      <c r="L215">
        <f t="shared" si="3"/>
        <v>43682.76</v>
      </c>
    </row>
    <row r="216" spans="1:12">
      <c r="A216" s="3" t="s">
        <v>240</v>
      </c>
      <c r="B216" s="3" t="s">
        <v>11</v>
      </c>
      <c r="C216" s="3" t="s">
        <v>50</v>
      </c>
      <c r="D216" s="3" t="s">
        <v>23</v>
      </c>
      <c r="E216" s="3" t="s">
        <v>24</v>
      </c>
      <c r="F216" s="3" t="s">
        <v>20</v>
      </c>
      <c r="G216" s="4">
        <v>45138</v>
      </c>
      <c r="H216">
        <v>266</v>
      </c>
      <c r="I216">
        <v>218.28</v>
      </c>
      <c r="J216" s="3">
        <v>109.19</v>
      </c>
      <c r="K216" s="35">
        <f>Table3[[#This Row],[Units Sold]]*Table3[[#This Row],[Unit Price]]</f>
        <v>58062.48</v>
      </c>
      <c r="L216">
        <f t="shared" si="3"/>
        <v>29017.940000000002</v>
      </c>
    </row>
    <row r="217" spans="1:12">
      <c r="A217" s="3" t="s">
        <v>241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15</v>
      </c>
      <c r="G217" s="4">
        <v>45139</v>
      </c>
      <c r="H217">
        <v>67</v>
      </c>
      <c r="I217">
        <v>448.87</v>
      </c>
      <c r="J217" s="3">
        <v>216.74</v>
      </c>
      <c r="K217" s="35">
        <f>Table3[[#This Row],[Units Sold]]*Table3[[#This Row],[Unit Price]]</f>
        <v>30074.29</v>
      </c>
      <c r="L217">
        <f t="shared" si="3"/>
        <v>15552.71</v>
      </c>
    </row>
    <row r="218" spans="1:12">
      <c r="A218" s="3" t="s">
        <v>242</v>
      </c>
      <c r="B218" s="3" t="s">
        <v>11</v>
      </c>
      <c r="C218" s="3" t="s">
        <v>26</v>
      </c>
      <c r="D218" s="3" t="s">
        <v>27</v>
      </c>
      <c r="E218" s="3" t="s">
        <v>14</v>
      </c>
      <c r="F218" s="3" t="s">
        <v>20</v>
      </c>
      <c r="G218" s="4">
        <v>45140</v>
      </c>
      <c r="H218">
        <v>389</v>
      </c>
      <c r="I218">
        <v>40.28</v>
      </c>
      <c r="J218" s="3">
        <v>291.72000000000003</v>
      </c>
      <c r="K218" s="35">
        <f>Table3[[#This Row],[Units Sold]]*Table3[[#This Row],[Unit Price]]</f>
        <v>15668.92</v>
      </c>
      <c r="L218">
        <f t="shared" si="3"/>
        <v>-97810.16</v>
      </c>
    </row>
    <row r="219" spans="1:12">
      <c r="A219" s="3" t="s">
        <v>243</v>
      </c>
      <c r="B219" s="3" t="s">
        <v>11</v>
      </c>
      <c r="C219" s="3" t="s">
        <v>18</v>
      </c>
      <c r="D219" s="3" t="s">
        <v>42</v>
      </c>
      <c r="E219" s="3" t="s">
        <v>14</v>
      </c>
      <c r="F219" s="3" t="s">
        <v>28</v>
      </c>
      <c r="G219" s="4">
        <v>45141</v>
      </c>
      <c r="H219">
        <v>431</v>
      </c>
      <c r="I219">
        <v>477.56</v>
      </c>
      <c r="J219" s="3">
        <v>44.96</v>
      </c>
      <c r="K219" s="35">
        <f>Table3[[#This Row],[Units Sold]]*Table3[[#This Row],[Unit Price]]</f>
        <v>205828.36000000002</v>
      </c>
      <c r="L219">
        <f t="shared" si="3"/>
        <v>186450.6</v>
      </c>
    </row>
    <row r="220" spans="1:12">
      <c r="A220" s="3" t="s">
        <v>244</v>
      </c>
      <c r="B220" s="3" t="s">
        <v>22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45142</v>
      </c>
      <c r="H220">
        <v>24</v>
      </c>
      <c r="I220">
        <v>329.07</v>
      </c>
      <c r="J220" s="3">
        <v>274.75</v>
      </c>
      <c r="K220" s="35">
        <f>Table3[[#This Row],[Units Sold]]*Table3[[#This Row],[Unit Price]]</f>
        <v>7897.68</v>
      </c>
      <c r="L220">
        <f t="shared" si="3"/>
        <v>1303.6799999999998</v>
      </c>
    </row>
    <row r="221" spans="1:12">
      <c r="A221" s="3" t="s">
        <v>245</v>
      </c>
      <c r="B221" s="3" t="s">
        <v>17</v>
      </c>
      <c r="C221" s="3" t="s">
        <v>31</v>
      </c>
      <c r="D221" s="3" t="s">
        <v>23</v>
      </c>
      <c r="E221" s="3" t="s">
        <v>24</v>
      </c>
      <c r="F221" s="3" t="s">
        <v>20</v>
      </c>
      <c r="G221" s="4">
        <v>45143</v>
      </c>
      <c r="H221">
        <v>171</v>
      </c>
      <c r="I221">
        <v>193.14</v>
      </c>
      <c r="J221" s="3">
        <v>38.56</v>
      </c>
      <c r="K221" s="35">
        <f>Table3[[#This Row],[Units Sold]]*Table3[[#This Row],[Unit Price]]</f>
        <v>33026.939999999995</v>
      </c>
      <c r="L221">
        <f t="shared" si="3"/>
        <v>26433.179999999997</v>
      </c>
    </row>
    <row r="222" spans="1:12">
      <c r="A222" s="3" t="s">
        <v>246</v>
      </c>
      <c r="B222" s="3" t="s">
        <v>22</v>
      </c>
      <c r="C222" s="3" t="s">
        <v>12</v>
      </c>
      <c r="D222" s="3" t="s">
        <v>13</v>
      </c>
      <c r="E222" s="3" t="s">
        <v>14</v>
      </c>
      <c r="F222" s="3" t="s">
        <v>20</v>
      </c>
      <c r="G222" s="4">
        <v>45144</v>
      </c>
      <c r="H222">
        <v>454</v>
      </c>
      <c r="I222">
        <v>102.59</v>
      </c>
      <c r="J222" s="3">
        <v>386.12</v>
      </c>
      <c r="K222" s="35">
        <f>Table3[[#This Row],[Units Sold]]*Table3[[#This Row],[Unit Price]]</f>
        <v>46575.86</v>
      </c>
      <c r="L222">
        <f t="shared" si="3"/>
        <v>-128722.61999999998</v>
      </c>
    </row>
    <row r="223" spans="1:12">
      <c r="A223" s="3" t="s">
        <v>247</v>
      </c>
      <c r="B223" s="3" t="s">
        <v>17</v>
      </c>
      <c r="C223" s="3" t="s">
        <v>12</v>
      </c>
      <c r="D223" s="3" t="s">
        <v>42</v>
      </c>
      <c r="E223" s="3" t="s">
        <v>24</v>
      </c>
      <c r="F223" s="3" t="s">
        <v>20</v>
      </c>
      <c r="G223" s="4">
        <v>45145</v>
      </c>
      <c r="H223">
        <v>172</v>
      </c>
      <c r="I223">
        <v>242.2</v>
      </c>
      <c r="J223" s="3">
        <v>196.38</v>
      </c>
      <c r="K223" s="35">
        <f>Table3[[#This Row],[Units Sold]]*Table3[[#This Row],[Unit Price]]</f>
        <v>41658.400000000001</v>
      </c>
      <c r="L223">
        <f t="shared" si="3"/>
        <v>7881.0399999999991</v>
      </c>
    </row>
    <row r="224" spans="1:12">
      <c r="A224" s="3" t="s">
        <v>248</v>
      </c>
      <c r="B224" s="3" t="s">
        <v>11</v>
      </c>
      <c r="C224" s="3" t="s">
        <v>26</v>
      </c>
      <c r="D224" s="3" t="s">
        <v>27</v>
      </c>
      <c r="E224" s="3" t="s">
        <v>14</v>
      </c>
      <c r="F224" s="3" t="s">
        <v>15</v>
      </c>
      <c r="G224" s="4">
        <v>45146</v>
      </c>
      <c r="H224">
        <v>329</v>
      </c>
      <c r="I224">
        <v>101.31</v>
      </c>
      <c r="J224" s="3">
        <v>61.97</v>
      </c>
      <c r="K224" s="35">
        <f>Table3[[#This Row],[Units Sold]]*Table3[[#This Row],[Unit Price]]</f>
        <v>33330.99</v>
      </c>
      <c r="L224">
        <f t="shared" si="3"/>
        <v>12942.86</v>
      </c>
    </row>
    <row r="225" spans="1:12">
      <c r="A225" s="3" t="s">
        <v>249</v>
      </c>
      <c r="B225" s="3" t="s">
        <v>11</v>
      </c>
      <c r="C225" s="3" t="s">
        <v>31</v>
      </c>
      <c r="D225" s="3" t="s">
        <v>19</v>
      </c>
      <c r="E225" s="3" t="s">
        <v>14</v>
      </c>
      <c r="F225" s="3" t="s">
        <v>15</v>
      </c>
      <c r="G225" s="4">
        <v>45147</v>
      </c>
      <c r="H225">
        <v>290</v>
      </c>
      <c r="I225">
        <v>87.33</v>
      </c>
      <c r="J225" s="3">
        <v>138.27000000000001</v>
      </c>
      <c r="K225" s="35">
        <f>Table3[[#This Row],[Units Sold]]*Table3[[#This Row],[Unit Price]]</f>
        <v>25325.7</v>
      </c>
      <c r="L225">
        <f t="shared" si="3"/>
        <v>-14772.600000000004</v>
      </c>
    </row>
    <row r="226" spans="1:12">
      <c r="A226" s="3" t="s">
        <v>250</v>
      </c>
      <c r="C226" s="3" t="s">
        <v>12</v>
      </c>
      <c r="D226" s="3" t="s">
        <v>42</v>
      </c>
      <c r="E226" s="3" t="s">
        <v>14</v>
      </c>
      <c r="F226" s="3" t="s">
        <v>28</v>
      </c>
      <c r="G226" s="4">
        <v>45148</v>
      </c>
      <c r="H226">
        <v>289</v>
      </c>
      <c r="I226">
        <v>310.58999999999997</v>
      </c>
      <c r="J226" s="3">
        <v>166.54</v>
      </c>
      <c r="K226" s="35">
        <f>Table3[[#This Row],[Units Sold]]*Table3[[#This Row],[Unit Price]]</f>
        <v>89760.51</v>
      </c>
      <c r="L226">
        <f t="shared" si="3"/>
        <v>41630.449999999997</v>
      </c>
    </row>
    <row r="227" spans="1:12">
      <c r="A227" s="3" t="s">
        <v>251</v>
      </c>
      <c r="B227" s="3" t="s">
        <v>48</v>
      </c>
      <c r="C227" s="3" t="s">
        <v>18</v>
      </c>
      <c r="D227" s="3" t="s">
        <v>42</v>
      </c>
      <c r="E227" s="3" t="s">
        <v>14</v>
      </c>
      <c r="F227" s="3" t="s">
        <v>15</v>
      </c>
      <c r="G227" s="4">
        <v>45149</v>
      </c>
      <c r="H227">
        <v>21</v>
      </c>
      <c r="I227">
        <v>263.93</v>
      </c>
      <c r="J227" s="3">
        <v>303.76</v>
      </c>
      <c r="K227" s="35">
        <f>Table3[[#This Row],[Units Sold]]*Table3[[#This Row],[Unit Price]]</f>
        <v>5542.53</v>
      </c>
      <c r="L227">
        <f t="shared" si="3"/>
        <v>-836.42999999999961</v>
      </c>
    </row>
    <row r="228" spans="1:12">
      <c r="A228" s="3" t="s">
        <v>252</v>
      </c>
      <c r="B228" s="3" t="s">
        <v>17</v>
      </c>
      <c r="C228" s="3" t="s">
        <v>18</v>
      </c>
      <c r="D228" s="3" t="s">
        <v>23</v>
      </c>
      <c r="E228" s="3" t="s">
        <v>14</v>
      </c>
      <c r="F228" s="3" t="s">
        <v>15</v>
      </c>
      <c r="G228" s="4">
        <v>45150</v>
      </c>
      <c r="H228">
        <v>283</v>
      </c>
      <c r="I228">
        <v>336.7</v>
      </c>
      <c r="J228" s="3">
        <v>297.88</v>
      </c>
      <c r="K228" s="35">
        <f>Table3[[#This Row],[Units Sold]]*Table3[[#This Row],[Unit Price]]</f>
        <v>95286.099999999991</v>
      </c>
      <c r="L228">
        <f t="shared" si="3"/>
        <v>10986.059999999998</v>
      </c>
    </row>
    <row r="229" spans="1:12">
      <c r="A229" s="3" t="s">
        <v>253</v>
      </c>
      <c r="B229" s="3" t="s">
        <v>48</v>
      </c>
      <c r="C229" s="3" t="s">
        <v>50</v>
      </c>
      <c r="D229" s="3" t="s">
        <v>13</v>
      </c>
      <c r="E229" s="3" t="s">
        <v>24</v>
      </c>
      <c r="F229" s="3" t="s">
        <v>28</v>
      </c>
      <c r="G229" s="4">
        <v>45151</v>
      </c>
      <c r="H229">
        <v>280</v>
      </c>
      <c r="I229">
        <v>465.15</v>
      </c>
      <c r="J229" s="3">
        <v>245.55</v>
      </c>
      <c r="K229" s="35">
        <f>Table3[[#This Row],[Units Sold]]*Table3[[#This Row],[Unit Price]]</f>
        <v>130242</v>
      </c>
      <c r="L229">
        <f t="shared" si="3"/>
        <v>61487.999999999993</v>
      </c>
    </row>
    <row r="230" spans="1:12">
      <c r="A230" s="3" t="s">
        <v>254</v>
      </c>
      <c r="B230" s="3" t="s">
        <v>48</v>
      </c>
      <c r="C230" s="3" t="s">
        <v>31</v>
      </c>
      <c r="D230" s="3" t="s">
        <v>19</v>
      </c>
      <c r="E230" s="3" t="s">
        <v>24</v>
      </c>
      <c r="F230" s="3" t="s">
        <v>15</v>
      </c>
      <c r="G230" s="4">
        <v>45152</v>
      </c>
      <c r="H230">
        <v>217</v>
      </c>
      <c r="I230">
        <v>268.47000000000003</v>
      </c>
      <c r="J230" s="3">
        <v>44.16</v>
      </c>
      <c r="K230" s="35">
        <f>Table3[[#This Row],[Units Sold]]*Table3[[#This Row],[Unit Price]]</f>
        <v>58257.990000000005</v>
      </c>
      <c r="L230">
        <f t="shared" si="3"/>
        <v>48675.270000000004</v>
      </c>
    </row>
    <row r="231" spans="1:12">
      <c r="A231" s="3" t="s">
        <v>255</v>
      </c>
      <c r="B231" s="3" t="s">
        <v>22</v>
      </c>
      <c r="C231" s="3" t="s">
        <v>31</v>
      </c>
      <c r="D231" s="3" t="s">
        <v>27</v>
      </c>
      <c r="E231" s="3" t="s">
        <v>24</v>
      </c>
      <c r="F231" s="3" t="s">
        <v>15</v>
      </c>
      <c r="G231" s="4">
        <v>45153</v>
      </c>
      <c r="H231">
        <v>36</v>
      </c>
      <c r="I231">
        <v>292.56</v>
      </c>
      <c r="J231" s="3">
        <v>62.32</v>
      </c>
      <c r="K231" s="35">
        <f>Table3[[#This Row],[Units Sold]]*Table3[[#This Row],[Unit Price]]</f>
        <v>10532.16</v>
      </c>
      <c r="L231">
        <f t="shared" si="3"/>
        <v>8288.64</v>
      </c>
    </row>
    <row r="232" spans="1:12">
      <c r="A232" s="3" t="s">
        <v>256</v>
      </c>
      <c r="B232" s="3" t="s">
        <v>48</v>
      </c>
      <c r="C232" s="3" t="s">
        <v>50</v>
      </c>
      <c r="D232" s="3" t="s">
        <v>19</v>
      </c>
      <c r="E232" s="3" t="s">
        <v>24</v>
      </c>
      <c r="F232" s="3" t="s">
        <v>28</v>
      </c>
      <c r="G232" s="4">
        <v>45154</v>
      </c>
      <c r="H232">
        <v>248.5</v>
      </c>
      <c r="I232">
        <v>49.37</v>
      </c>
      <c r="J232" s="3">
        <v>39.32</v>
      </c>
      <c r="K232" s="35">
        <f>Table3[[#This Row],[Units Sold]]*Table3[[#This Row],[Unit Price]]</f>
        <v>12268.445</v>
      </c>
      <c r="L232">
        <f t="shared" si="3"/>
        <v>2497.4249999999993</v>
      </c>
    </row>
    <row r="233" spans="1:12">
      <c r="A233" s="3" t="s">
        <v>257</v>
      </c>
      <c r="B233" s="3" t="s">
        <v>22</v>
      </c>
      <c r="C233" s="3" t="s">
        <v>12</v>
      </c>
      <c r="D233" s="3" t="s">
        <v>27</v>
      </c>
      <c r="E233" s="3" t="s">
        <v>14</v>
      </c>
      <c r="F233" s="3" t="s">
        <v>28</v>
      </c>
      <c r="G233" s="4">
        <v>45155</v>
      </c>
      <c r="H233">
        <v>69</v>
      </c>
      <c r="I233">
        <v>360.23</v>
      </c>
      <c r="J233" s="3">
        <v>231.71</v>
      </c>
      <c r="K233" s="35">
        <f>Table3[[#This Row],[Units Sold]]*Table3[[#This Row],[Unit Price]]</f>
        <v>24855.870000000003</v>
      </c>
      <c r="L233">
        <f t="shared" si="3"/>
        <v>8867.880000000001</v>
      </c>
    </row>
    <row r="234" spans="1:12">
      <c r="A234" s="3" t="s">
        <v>258</v>
      </c>
      <c r="B234" s="3" t="s">
        <v>22</v>
      </c>
      <c r="C234" s="3" t="s">
        <v>31</v>
      </c>
      <c r="D234" s="3" t="s">
        <v>13</v>
      </c>
      <c r="E234" s="3" t="s">
        <v>14</v>
      </c>
      <c r="F234" s="3" t="s">
        <v>28</v>
      </c>
      <c r="G234" s="4">
        <v>45156</v>
      </c>
      <c r="H234">
        <v>439</v>
      </c>
      <c r="I234">
        <v>202.95</v>
      </c>
      <c r="J234" s="3">
        <v>351.1</v>
      </c>
      <c r="K234" s="35">
        <f>Table3[[#This Row],[Units Sold]]*Table3[[#This Row],[Unit Price]]</f>
        <v>89095.049999999988</v>
      </c>
      <c r="L234">
        <f t="shared" si="3"/>
        <v>-65037.850000000013</v>
      </c>
    </row>
    <row r="235" spans="1:12">
      <c r="A235" s="3" t="s">
        <v>259</v>
      </c>
      <c r="B235" s="3" t="s">
        <v>48</v>
      </c>
      <c r="C235" s="3" t="s">
        <v>18</v>
      </c>
      <c r="D235" s="3" t="s">
        <v>27</v>
      </c>
      <c r="E235" s="3" t="s">
        <v>14</v>
      </c>
      <c r="F235" s="3" t="s">
        <v>20</v>
      </c>
      <c r="G235" s="4">
        <v>45157</v>
      </c>
      <c r="H235">
        <v>482</v>
      </c>
      <c r="I235">
        <v>488.48</v>
      </c>
      <c r="J235" s="3">
        <v>174.65</v>
      </c>
      <c r="K235" s="35">
        <f>Table3[[#This Row],[Units Sold]]*Table3[[#This Row],[Unit Price]]</f>
        <v>235447.36000000002</v>
      </c>
      <c r="L235">
        <f t="shared" si="3"/>
        <v>151266.06000000003</v>
      </c>
    </row>
    <row r="236" spans="1:12">
      <c r="A236" s="3" t="s">
        <v>260</v>
      </c>
      <c r="B236" s="3" t="s">
        <v>17</v>
      </c>
      <c r="C236" s="3" t="s">
        <v>18</v>
      </c>
      <c r="D236" s="3" t="s">
        <v>23</v>
      </c>
      <c r="E236" s="3" t="s">
        <v>14</v>
      </c>
      <c r="F236" s="3" t="s">
        <v>20</v>
      </c>
      <c r="G236" s="4">
        <v>45158</v>
      </c>
      <c r="H236">
        <v>154</v>
      </c>
      <c r="I236">
        <v>412.47</v>
      </c>
      <c r="J236" s="3">
        <v>66.02</v>
      </c>
      <c r="K236" s="35">
        <f>Table3[[#This Row],[Units Sold]]*Table3[[#This Row],[Unit Price]]</f>
        <v>63520.380000000005</v>
      </c>
      <c r="L236">
        <f t="shared" si="3"/>
        <v>53353.30000000001</v>
      </c>
    </row>
    <row r="237" spans="1:12">
      <c r="A237" s="3" t="s">
        <v>261</v>
      </c>
      <c r="B237" s="3" t="s">
        <v>17</v>
      </c>
      <c r="C237" s="3" t="s">
        <v>26</v>
      </c>
      <c r="D237" s="3" t="s">
        <v>23</v>
      </c>
      <c r="E237" s="3" t="s">
        <v>24</v>
      </c>
      <c r="F237" s="3" t="s">
        <v>28</v>
      </c>
      <c r="G237" s="4">
        <v>45159</v>
      </c>
      <c r="H237">
        <v>102</v>
      </c>
      <c r="I237">
        <v>263.63</v>
      </c>
      <c r="J237" s="3">
        <v>224.1</v>
      </c>
      <c r="K237" s="35">
        <f>Table3[[#This Row],[Units Sold]]*Table3[[#This Row],[Unit Price]]</f>
        <v>26890.26</v>
      </c>
      <c r="L237">
        <f t="shared" si="3"/>
        <v>4032.06</v>
      </c>
    </row>
    <row r="238" spans="1:12">
      <c r="A238" s="3" t="s">
        <v>262</v>
      </c>
      <c r="B238" s="3" t="s">
        <v>17</v>
      </c>
      <c r="C238" s="3" t="s">
        <v>31</v>
      </c>
      <c r="D238" s="3" t="s">
        <v>23</v>
      </c>
      <c r="E238" s="3" t="s">
        <v>14</v>
      </c>
      <c r="F238" s="3" t="s">
        <v>28</v>
      </c>
      <c r="G238" s="4">
        <v>45160</v>
      </c>
      <c r="H238">
        <v>318</v>
      </c>
      <c r="I238">
        <v>66</v>
      </c>
      <c r="J238" s="3">
        <v>325.08</v>
      </c>
      <c r="K238" s="35">
        <f>Table3[[#This Row],[Units Sold]]*Table3[[#This Row],[Unit Price]]</f>
        <v>20988</v>
      </c>
      <c r="L238">
        <f t="shared" si="3"/>
        <v>-82387.439999999988</v>
      </c>
    </row>
    <row r="239" spans="1:12">
      <c r="A239" s="3" t="s">
        <v>263</v>
      </c>
      <c r="B239" s="3" t="s">
        <v>17</v>
      </c>
      <c r="C239" s="3" t="s">
        <v>12</v>
      </c>
      <c r="D239" s="3" t="s">
        <v>23</v>
      </c>
      <c r="E239" s="3" t="s">
        <v>14</v>
      </c>
      <c r="F239" s="3" t="s">
        <v>28</v>
      </c>
      <c r="G239" s="4">
        <v>45161</v>
      </c>
      <c r="H239">
        <v>17</v>
      </c>
      <c r="I239">
        <v>430.41</v>
      </c>
      <c r="J239" s="3">
        <v>297.2</v>
      </c>
      <c r="K239" s="35">
        <f>Table3[[#This Row],[Units Sold]]*Table3[[#This Row],[Unit Price]]</f>
        <v>7316.97</v>
      </c>
      <c r="L239">
        <f t="shared" si="3"/>
        <v>2264.5700000000006</v>
      </c>
    </row>
    <row r="240" spans="1:12">
      <c r="A240" s="3" t="s">
        <v>264</v>
      </c>
      <c r="B240" s="3" t="s">
        <v>17</v>
      </c>
      <c r="C240" s="3" t="s">
        <v>50</v>
      </c>
      <c r="D240" s="3" t="s">
        <v>19</v>
      </c>
      <c r="E240" s="3" t="s">
        <v>24</v>
      </c>
      <c r="F240" s="3" t="s">
        <v>20</v>
      </c>
      <c r="G240" s="4">
        <v>45162</v>
      </c>
      <c r="H240">
        <v>88</v>
      </c>
      <c r="I240">
        <v>400.89</v>
      </c>
      <c r="J240" s="3">
        <v>352.82</v>
      </c>
      <c r="K240" s="35">
        <f>Table3[[#This Row],[Units Sold]]*Table3[[#This Row],[Unit Price]]</f>
        <v>35278.32</v>
      </c>
      <c r="L240">
        <f t="shared" si="3"/>
        <v>4230.16</v>
      </c>
    </row>
    <row r="241" spans="1:12">
      <c r="A241" s="3" t="s">
        <v>265</v>
      </c>
      <c r="B241" s="3" t="s">
        <v>48</v>
      </c>
      <c r="C241" s="3" t="s">
        <v>50</v>
      </c>
      <c r="D241" s="3" t="s">
        <v>13</v>
      </c>
      <c r="E241" s="3" t="s">
        <v>24</v>
      </c>
      <c r="F241" s="3" t="s">
        <v>20</v>
      </c>
      <c r="G241" s="4">
        <v>45163</v>
      </c>
      <c r="H241">
        <v>36</v>
      </c>
      <c r="I241">
        <v>96.37</v>
      </c>
      <c r="J241" s="3">
        <v>112.61</v>
      </c>
      <c r="K241" s="35">
        <f>Table3[[#This Row],[Units Sold]]*Table3[[#This Row],[Unit Price]]</f>
        <v>3469.32</v>
      </c>
      <c r="L241">
        <f t="shared" si="3"/>
        <v>-584.63999999999987</v>
      </c>
    </row>
    <row r="242" spans="1:12">
      <c r="A242" s="3" t="s">
        <v>266</v>
      </c>
      <c r="B242" s="3" t="s">
        <v>48</v>
      </c>
      <c r="C242" s="3" t="s">
        <v>12</v>
      </c>
      <c r="D242" s="3" t="s">
        <v>27</v>
      </c>
      <c r="E242" s="3" t="s">
        <v>24</v>
      </c>
      <c r="F242" s="3" t="s">
        <v>15</v>
      </c>
      <c r="G242" s="4">
        <v>45164</v>
      </c>
      <c r="H242">
        <v>183</v>
      </c>
      <c r="I242">
        <v>151.16</v>
      </c>
      <c r="J242" s="3">
        <v>79.19</v>
      </c>
      <c r="K242" s="35">
        <f>Table3[[#This Row],[Units Sold]]*Table3[[#This Row],[Unit Price]]</f>
        <v>27662.28</v>
      </c>
      <c r="L242">
        <f t="shared" si="3"/>
        <v>13170.51</v>
      </c>
    </row>
    <row r="243" spans="1:12">
      <c r="A243" s="3" t="s">
        <v>267</v>
      </c>
      <c r="B243" s="3" t="s">
        <v>11</v>
      </c>
      <c r="C243" s="3" t="s">
        <v>26</v>
      </c>
      <c r="D243" s="3" t="s">
        <v>27</v>
      </c>
      <c r="E243" s="3" t="s">
        <v>24</v>
      </c>
      <c r="F243" s="3" t="s">
        <v>15</v>
      </c>
      <c r="G243" s="4">
        <v>45165</v>
      </c>
      <c r="H243">
        <v>59</v>
      </c>
      <c r="I243">
        <v>397.74</v>
      </c>
      <c r="J243" s="3">
        <v>352.17</v>
      </c>
      <c r="K243" s="35">
        <f>Table3[[#This Row],[Units Sold]]*Table3[[#This Row],[Unit Price]]</f>
        <v>23466.66</v>
      </c>
      <c r="L243">
        <f t="shared" si="3"/>
        <v>2688.6299999999997</v>
      </c>
    </row>
    <row r="244" spans="1:12">
      <c r="A244" s="3" t="s">
        <v>268</v>
      </c>
      <c r="B244" s="3" t="s">
        <v>17</v>
      </c>
      <c r="C244" s="3" t="s">
        <v>50</v>
      </c>
      <c r="D244" s="3" t="s">
        <v>23</v>
      </c>
      <c r="E244" s="3" t="s">
        <v>14</v>
      </c>
      <c r="F244" s="3" t="s">
        <v>28</v>
      </c>
      <c r="G244" s="4">
        <v>45166</v>
      </c>
      <c r="H244">
        <v>208</v>
      </c>
      <c r="I244">
        <v>96.69</v>
      </c>
      <c r="J244" s="3">
        <v>263.70999999999998</v>
      </c>
      <c r="K244" s="35">
        <f>Table3[[#This Row],[Units Sold]]*Table3[[#This Row],[Unit Price]]</f>
        <v>20111.52</v>
      </c>
      <c r="L244">
        <f t="shared" si="3"/>
        <v>-34740.159999999996</v>
      </c>
    </row>
    <row r="245" spans="1:12">
      <c r="A245" s="3" t="s">
        <v>269</v>
      </c>
      <c r="B245" s="3" t="s">
        <v>48</v>
      </c>
      <c r="C245" s="3" t="s">
        <v>31</v>
      </c>
      <c r="D245" s="3" t="s">
        <v>23</v>
      </c>
      <c r="E245" s="3" t="s">
        <v>14</v>
      </c>
      <c r="F245" s="3" t="s">
        <v>20</v>
      </c>
      <c r="G245" s="4">
        <v>45167</v>
      </c>
      <c r="H245">
        <v>396</v>
      </c>
      <c r="I245">
        <v>459.29</v>
      </c>
      <c r="J245" s="3">
        <v>125.75</v>
      </c>
      <c r="K245" s="35">
        <f>Table3[[#This Row],[Units Sold]]*Table3[[#This Row],[Unit Price]]</f>
        <v>181878.84</v>
      </c>
      <c r="L245">
        <f t="shared" si="3"/>
        <v>132081.84</v>
      </c>
    </row>
    <row r="246" spans="1:12">
      <c r="A246" s="3" t="s">
        <v>270</v>
      </c>
      <c r="B246" s="3" t="s">
        <v>11</v>
      </c>
      <c r="C246" s="3" t="s">
        <v>26</v>
      </c>
      <c r="D246" s="3" t="s">
        <v>42</v>
      </c>
      <c r="E246" s="3" t="s">
        <v>24</v>
      </c>
      <c r="F246" s="3" t="s">
        <v>20</v>
      </c>
      <c r="G246" s="4">
        <v>45168</v>
      </c>
      <c r="H246">
        <v>358</v>
      </c>
      <c r="I246">
        <v>215.14</v>
      </c>
      <c r="J246" s="3">
        <v>297.45</v>
      </c>
      <c r="K246" s="35">
        <f>Table3[[#This Row],[Units Sold]]*Table3[[#This Row],[Unit Price]]</f>
        <v>77020.12</v>
      </c>
      <c r="L246">
        <f t="shared" si="3"/>
        <v>-29466.98</v>
      </c>
    </row>
    <row r="247" spans="1:12">
      <c r="A247" s="3" t="s">
        <v>271</v>
      </c>
      <c r="B247" s="3" t="s">
        <v>17</v>
      </c>
      <c r="C247" s="3" t="s">
        <v>31</v>
      </c>
      <c r="D247" s="3" t="s">
        <v>13</v>
      </c>
      <c r="E247" s="3" t="s">
        <v>14</v>
      </c>
      <c r="F247" s="3" t="s">
        <v>20</v>
      </c>
      <c r="G247" s="4">
        <v>45169</v>
      </c>
      <c r="H247">
        <v>457</v>
      </c>
      <c r="I247">
        <v>48.08</v>
      </c>
      <c r="J247" s="3">
        <v>326.42</v>
      </c>
      <c r="K247" s="35">
        <f>Table3[[#This Row],[Units Sold]]*Table3[[#This Row],[Unit Price]]</f>
        <v>21972.559999999998</v>
      </c>
      <c r="L247">
        <f t="shared" si="3"/>
        <v>-127201.38000000002</v>
      </c>
    </row>
    <row r="248" spans="1:12">
      <c r="A248" s="3" t="s">
        <v>272</v>
      </c>
      <c r="B248" s="3" t="s">
        <v>22</v>
      </c>
      <c r="C248" s="3" t="s">
        <v>18</v>
      </c>
      <c r="D248" s="3" t="s">
        <v>19</v>
      </c>
      <c r="E248" s="3" t="s">
        <v>14</v>
      </c>
      <c r="F248" s="3" t="s">
        <v>28</v>
      </c>
      <c r="G248" s="4">
        <v>45170</v>
      </c>
      <c r="H248">
        <v>437</v>
      </c>
      <c r="I248">
        <v>408.8</v>
      </c>
      <c r="J248" s="3">
        <v>246.76</v>
      </c>
      <c r="K248" s="35">
        <f>Table3[[#This Row],[Units Sold]]*Table3[[#This Row],[Unit Price]]</f>
        <v>178645.6</v>
      </c>
      <c r="L248">
        <f t="shared" si="3"/>
        <v>70811.48000000001</v>
      </c>
    </row>
    <row r="249" spans="1:12">
      <c r="A249" s="3" t="s">
        <v>273</v>
      </c>
      <c r="B249" s="3" t="s">
        <v>11</v>
      </c>
      <c r="C249" s="3" t="s">
        <v>26</v>
      </c>
      <c r="D249" s="3" t="s">
        <v>27</v>
      </c>
      <c r="E249" s="3" t="s">
        <v>14</v>
      </c>
      <c r="F249" s="3" t="s">
        <v>15</v>
      </c>
      <c r="G249" s="4">
        <v>45171</v>
      </c>
      <c r="H249">
        <v>190</v>
      </c>
      <c r="I249">
        <v>189.89</v>
      </c>
      <c r="J249" s="3">
        <v>275.77999999999997</v>
      </c>
      <c r="K249" s="35">
        <f>Table3[[#This Row],[Units Sold]]*Table3[[#This Row],[Unit Price]]</f>
        <v>36079.1</v>
      </c>
      <c r="L249">
        <f t="shared" si="3"/>
        <v>-16319.099999999997</v>
      </c>
    </row>
    <row r="250" spans="1:12">
      <c r="A250" s="3" t="s">
        <v>274</v>
      </c>
      <c r="B250" s="3" t="s">
        <v>48</v>
      </c>
      <c r="C250" s="3" t="s">
        <v>50</v>
      </c>
      <c r="D250" s="3" t="s">
        <v>42</v>
      </c>
      <c r="E250" s="3" t="s">
        <v>24</v>
      </c>
      <c r="F250" s="3" t="s">
        <v>28</v>
      </c>
      <c r="G250" s="4">
        <v>45172</v>
      </c>
      <c r="H250">
        <v>33</v>
      </c>
      <c r="I250">
        <v>265.62</v>
      </c>
      <c r="J250" s="3">
        <v>151.35</v>
      </c>
      <c r="K250" s="35">
        <f>Table3[[#This Row],[Units Sold]]*Table3[[#This Row],[Unit Price]]</f>
        <v>8765.4600000000009</v>
      </c>
      <c r="L250">
        <f t="shared" si="3"/>
        <v>3770.9100000000003</v>
      </c>
    </row>
    <row r="251" spans="1:12">
      <c r="A251" s="3" t="s">
        <v>275</v>
      </c>
      <c r="B251" s="3" t="s">
        <v>22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45173</v>
      </c>
      <c r="H251">
        <v>325</v>
      </c>
      <c r="I251">
        <v>60.59</v>
      </c>
      <c r="J251" s="3">
        <v>216.4</v>
      </c>
      <c r="K251" s="35">
        <f>Table3[[#This Row],[Units Sold]]*Table3[[#This Row],[Unit Price]]</f>
        <v>19691.75</v>
      </c>
      <c r="L251">
        <f t="shared" si="3"/>
        <v>-50638.25</v>
      </c>
    </row>
    <row r="252" spans="1:12">
      <c r="A252" s="3" t="s">
        <v>276</v>
      </c>
      <c r="B252" s="3" t="s">
        <v>22</v>
      </c>
      <c r="C252" s="3" t="s">
        <v>26</v>
      </c>
      <c r="D252" s="3" t="s">
        <v>27</v>
      </c>
      <c r="E252" s="3" t="s">
        <v>24</v>
      </c>
      <c r="F252" s="3" t="s">
        <v>15</v>
      </c>
      <c r="G252" s="4">
        <v>45174</v>
      </c>
      <c r="H252">
        <v>387</v>
      </c>
      <c r="I252">
        <v>6.28</v>
      </c>
      <c r="J252" s="3">
        <v>210.62</v>
      </c>
      <c r="K252" s="35">
        <f>Table3[[#This Row],[Units Sold]]*Table3[[#This Row],[Unit Price]]</f>
        <v>2430.36</v>
      </c>
      <c r="L252">
        <f t="shared" si="3"/>
        <v>-79079.58</v>
      </c>
    </row>
    <row r="253" spans="1:12">
      <c r="A253" s="3" t="s">
        <v>277</v>
      </c>
      <c r="B253" s="3" t="s">
        <v>22</v>
      </c>
      <c r="C253" s="3" t="s">
        <v>26</v>
      </c>
      <c r="D253" s="3" t="s">
        <v>19</v>
      </c>
      <c r="E253" s="3" t="s">
        <v>14</v>
      </c>
      <c r="F253" s="3" t="s">
        <v>28</v>
      </c>
      <c r="G253" s="4">
        <v>45175</v>
      </c>
      <c r="H253">
        <v>396</v>
      </c>
      <c r="I253">
        <v>320.8</v>
      </c>
      <c r="J253" s="3">
        <v>339.52</v>
      </c>
      <c r="K253" s="35">
        <f>Table3[[#This Row],[Units Sold]]*Table3[[#This Row],[Unit Price]]</f>
        <v>127036.8</v>
      </c>
      <c r="L253">
        <f t="shared" si="3"/>
        <v>-7413.1199999999881</v>
      </c>
    </row>
    <row r="254" spans="1:12">
      <c r="A254" s="3" t="s">
        <v>278</v>
      </c>
      <c r="B254" s="3" t="s">
        <v>11</v>
      </c>
      <c r="C254" s="3" t="s">
        <v>26</v>
      </c>
      <c r="D254" s="3" t="s">
        <v>42</v>
      </c>
      <c r="E254" s="3" t="s">
        <v>14</v>
      </c>
      <c r="F254" s="3" t="s">
        <v>15</v>
      </c>
      <c r="G254" s="4">
        <v>45176</v>
      </c>
      <c r="H254">
        <v>413</v>
      </c>
      <c r="I254">
        <v>260.01</v>
      </c>
      <c r="J254" s="3">
        <v>336.31</v>
      </c>
      <c r="K254" s="35">
        <f>Table3[[#This Row],[Units Sold]]*Table3[[#This Row],[Unit Price]]</f>
        <v>107384.12999999999</v>
      </c>
      <c r="L254">
        <f t="shared" si="3"/>
        <v>-31511.900000000005</v>
      </c>
    </row>
    <row r="255" spans="1:12">
      <c r="A255" s="3" t="s">
        <v>279</v>
      </c>
      <c r="B255" s="3" t="s">
        <v>48</v>
      </c>
      <c r="C255" s="3" t="s">
        <v>31</v>
      </c>
      <c r="D255" s="3" t="s">
        <v>42</v>
      </c>
      <c r="E255" s="3" t="s">
        <v>14</v>
      </c>
      <c r="F255" s="3" t="s">
        <v>15</v>
      </c>
      <c r="G255" s="4">
        <v>45177</v>
      </c>
      <c r="H255">
        <v>248.5</v>
      </c>
      <c r="I255">
        <v>298.8</v>
      </c>
      <c r="J255" s="3">
        <v>333.41</v>
      </c>
      <c r="K255" s="35">
        <f>Table3[[#This Row],[Units Sold]]*Table3[[#This Row],[Unit Price]]</f>
        <v>74251.8</v>
      </c>
      <c r="L255">
        <f t="shared" si="3"/>
        <v>-8600.5850000000028</v>
      </c>
    </row>
    <row r="256" spans="1:12">
      <c r="A256" s="3" t="s">
        <v>280</v>
      </c>
      <c r="B256" s="3" t="s">
        <v>22</v>
      </c>
      <c r="C256" s="3" t="s">
        <v>18</v>
      </c>
      <c r="D256" s="3" t="s">
        <v>13</v>
      </c>
      <c r="E256" s="3" t="s">
        <v>24</v>
      </c>
      <c r="F256" s="3" t="s">
        <v>20</v>
      </c>
      <c r="G256" s="4">
        <v>45178</v>
      </c>
      <c r="H256">
        <v>24</v>
      </c>
      <c r="I256">
        <v>397.9</v>
      </c>
      <c r="J256" s="3">
        <v>6.39</v>
      </c>
      <c r="K256" s="35">
        <f>Table3[[#This Row],[Units Sold]]*Table3[[#This Row],[Unit Price]]</f>
        <v>9549.5999999999985</v>
      </c>
      <c r="L256">
        <f t="shared" si="3"/>
        <v>9396.24</v>
      </c>
    </row>
    <row r="257" spans="1:12">
      <c r="A257" s="3" t="s">
        <v>281</v>
      </c>
      <c r="B257" s="3" t="s">
        <v>17</v>
      </c>
      <c r="C257" s="3" t="s">
        <v>12</v>
      </c>
      <c r="E257" s="3" t="s">
        <v>14</v>
      </c>
      <c r="F257" s="3" t="s">
        <v>15</v>
      </c>
      <c r="G257" s="4">
        <v>45179</v>
      </c>
      <c r="H257">
        <v>162</v>
      </c>
      <c r="I257">
        <v>325.07</v>
      </c>
      <c r="J257" s="3">
        <v>300.32</v>
      </c>
      <c r="K257" s="35">
        <f>Table3[[#This Row],[Units Sold]]*Table3[[#This Row],[Unit Price]]</f>
        <v>52661.34</v>
      </c>
      <c r="L257">
        <f t="shared" si="3"/>
        <v>4009.5</v>
      </c>
    </row>
    <row r="258" spans="1:12">
      <c r="A258" s="3" t="s">
        <v>282</v>
      </c>
      <c r="B258" s="3" t="s">
        <v>22</v>
      </c>
      <c r="C258" s="3" t="s">
        <v>26</v>
      </c>
      <c r="D258" s="3" t="s">
        <v>42</v>
      </c>
      <c r="E258" s="3" t="s">
        <v>24</v>
      </c>
      <c r="F258" s="3" t="s">
        <v>28</v>
      </c>
      <c r="G258" s="4">
        <v>45180</v>
      </c>
      <c r="H258">
        <v>231</v>
      </c>
      <c r="I258">
        <v>91.51</v>
      </c>
      <c r="J258" s="3">
        <v>303.95</v>
      </c>
      <c r="K258" s="35">
        <f>Table3[[#This Row],[Units Sold]]*Table3[[#This Row],[Unit Price]]</f>
        <v>21138.81</v>
      </c>
      <c r="L258">
        <f t="shared" si="3"/>
        <v>-49073.64</v>
      </c>
    </row>
    <row r="259" spans="1:12">
      <c r="A259" s="3" t="s">
        <v>283</v>
      </c>
      <c r="B259" s="3" t="s">
        <v>22</v>
      </c>
      <c r="C259" s="3" t="s">
        <v>50</v>
      </c>
      <c r="D259" s="3" t="s">
        <v>19</v>
      </c>
      <c r="E259" s="3" t="s">
        <v>24</v>
      </c>
      <c r="F259" s="3" t="s">
        <v>28</v>
      </c>
      <c r="G259" s="4">
        <v>45181</v>
      </c>
      <c r="H259">
        <v>215</v>
      </c>
      <c r="I259">
        <v>183.58</v>
      </c>
      <c r="J259" s="3">
        <v>271.99</v>
      </c>
      <c r="K259" s="35">
        <f>Table3[[#This Row],[Units Sold]]*Table3[[#This Row],[Unit Price]]</f>
        <v>39469.700000000004</v>
      </c>
      <c r="L259">
        <f t="shared" si="3"/>
        <v>-19008.149999999998</v>
      </c>
    </row>
    <row r="260" spans="1:12">
      <c r="A260" s="3" t="s">
        <v>284</v>
      </c>
      <c r="B260" s="3" t="s">
        <v>11</v>
      </c>
      <c r="C260" s="3" t="s">
        <v>26</v>
      </c>
      <c r="D260" s="3" t="s">
        <v>27</v>
      </c>
      <c r="E260" s="3" t="s">
        <v>24</v>
      </c>
      <c r="F260" s="3" t="s">
        <v>15</v>
      </c>
      <c r="G260" s="4">
        <v>45182</v>
      </c>
      <c r="H260">
        <v>464</v>
      </c>
      <c r="I260">
        <v>453.42</v>
      </c>
      <c r="J260" s="3">
        <v>302.99</v>
      </c>
      <c r="K260" s="35">
        <f>Table3[[#This Row],[Units Sold]]*Table3[[#This Row],[Unit Price]]</f>
        <v>210386.88</v>
      </c>
      <c r="L260">
        <f t="shared" si="3"/>
        <v>69799.520000000004</v>
      </c>
    </row>
    <row r="261" spans="1:12">
      <c r="A261" s="3" t="s">
        <v>285</v>
      </c>
      <c r="B261" s="3" t="s">
        <v>11</v>
      </c>
      <c r="C261" s="3" t="s">
        <v>50</v>
      </c>
      <c r="D261" s="3" t="s">
        <v>23</v>
      </c>
      <c r="E261" s="3" t="s">
        <v>14</v>
      </c>
      <c r="F261" s="3" t="s">
        <v>20</v>
      </c>
      <c r="G261" s="4">
        <v>45183</v>
      </c>
      <c r="H261">
        <v>282</v>
      </c>
      <c r="I261">
        <v>255.4</v>
      </c>
      <c r="J261" s="3">
        <v>337.1</v>
      </c>
      <c r="K261" s="35">
        <f>Table3[[#This Row],[Units Sold]]*Table3[[#This Row],[Unit Price]]</f>
        <v>72022.8</v>
      </c>
      <c r="L261">
        <f t="shared" si="3"/>
        <v>-23039.400000000005</v>
      </c>
    </row>
    <row r="262" spans="1:12">
      <c r="A262" s="3" t="s">
        <v>286</v>
      </c>
      <c r="B262" s="3" t="s">
        <v>48</v>
      </c>
      <c r="C262" s="3" t="s">
        <v>31</v>
      </c>
      <c r="D262" s="3" t="s">
        <v>42</v>
      </c>
      <c r="E262" s="3" t="s">
        <v>14</v>
      </c>
      <c r="F262" s="3" t="s">
        <v>20</v>
      </c>
      <c r="G262" s="4">
        <v>45184</v>
      </c>
      <c r="H262">
        <v>391</v>
      </c>
      <c r="I262">
        <v>280.54000000000002</v>
      </c>
      <c r="J262" s="3">
        <v>189.19</v>
      </c>
      <c r="K262" s="35">
        <f>Table3[[#This Row],[Units Sold]]*Table3[[#This Row],[Unit Price]]</f>
        <v>109691.14000000001</v>
      </c>
      <c r="L262">
        <f t="shared" ref="L262:L325" si="4">(I262-J262)*H262</f>
        <v>35717.850000000006</v>
      </c>
    </row>
    <row r="263" spans="1:12">
      <c r="A263" s="3" t="s">
        <v>287</v>
      </c>
      <c r="B263" s="3" t="s">
        <v>17</v>
      </c>
      <c r="C263" s="3" t="s">
        <v>50</v>
      </c>
      <c r="D263" s="3" t="s">
        <v>13</v>
      </c>
      <c r="E263" s="3" t="s">
        <v>14</v>
      </c>
      <c r="F263" s="3" t="s">
        <v>15</v>
      </c>
      <c r="G263" s="4">
        <v>45185</v>
      </c>
      <c r="H263">
        <v>245</v>
      </c>
      <c r="I263">
        <v>131.54</v>
      </c>
      <c r="J263" s="3">
        <v>201.82</v>
      </c>
      <c r="K263" s="35">
        <f>Table3[[#This Row],[Units Sold]]*Table3[[#This Row],[Unit Price]]</f>
        <v>32227.3</v>
      </c>
      <c r="L263">
        <f t="shared" si="4"/>
        <v>-17218.599999999999</v>
      </c>
    </row>
    <row r="264" spans="1:12">
      <c r="A264" s="3" t="s">
        <v>288</v>
      </c>
      <c r="B264" s="3" t="s">
        <v>11</v>
      </c>
      <c r="C264" s="3" t="s">
        <v>12</v>
      </c>
      <c r="D264" s="3" t="s">
        <v>27</v>
      </c>
      <c r="E264" s="3" t="s">
        <v>14</v>
      </c>
      <c r="F264" s="3" t="s">
        <v>15</v>
      </c>
      <c r="G264" s="4">
        <v>45186</v>
      </c>
      <c r="H264">
        <v>349</v>
      </c>
      <c r="I264">
        <v>154.52000000000001</v>
      </c>
      <c r="J264" s="3">
        <v>51.64</v>
      </c>
      <c r="K264" s="35">
        <f>Table3[[#This Row],[Units Sold]]*Table3[[#This Row],[Unit Price]]</f>
        <v>53927.48</v>
      </c>
      <c r="L264">
        <f t="shared" si="4"/>
        <v>35905.120000000003</v>
      </c>
    </row>
    <row r="265" spans="1:12">
      <c r="A265" s="3" t="s">
        <v>289</v>
      </c>
      <c r="B265" s="3" t="s">
        <v>22</v>
      </c>
      <c r="C265" s="3" t="s">
        <v>18</v>
      </c>
      <c r="D265" s="3" t="s">
        <v>19</v>
      </c>
      <c r="E265" s="3" t="s">
        <v>24</v>
      </c>
      <c r="F265" s="3" t="s">
        <v>28</v>
      </c>
      <c r="G265" s="4">
        <v>45187</v>
      </c>
      <c r="H265">
        <v>237</v>
      </c>
      <c r="I265">
        <v>255.4</v>
      </c>
      <c r="J265" s="3">
        <v>155.38</v>
      </c>
      <c r="K265" s="35">
        <f>Table3[[#This Row],[Units Sold]]*Table3[[#This Row],[Unit Price]]</f>
        <v>60529.8</v>
      </c>
      <c r="L265">
        <f t="shared" si="4"/>
        <v>23704.74</v>
      </c>
    </row>
    <row r="266" spans="1:12">
      <c r="A266" s="3" t="s">
        <v>290</v>
      </c>
      <c r="B266" s="3" t="s">
        <v>48</v>
      </c>
      <c r="C266" s="3" t="s">
        <v>50</v>
      </c>
      <c r="D266" s="3" t="s">
        <v>27</v>
      </c>
      <c r="E266" s="3" t="s">
        <v>24</v>
      </c>
      <c r="F266" s="3" t="s">
        <v>15</v>
      </c>
      <c r="G266" s="4">
        <v>45188</v>
      </c>
      <c r="H266">
        <v>18</v>
      </c>
      <c r="I266">
        <v>426.33</v>
      </c>
      <c r="J266" s="3">
        <v>258.06</v>
      </c>
      <c r="K266" s="35">
        <f>Table3[[#This Row],[Units Sold]]*Table3[[#This Row],[Unit Price]]</f>
        <v>7673.94</v>
      </c>
      <c r="L266">
        <f t="shared" si="4"/>
        <v>3028.8599999999997</v>
      </c>
    </row>
    <row r="267" spans="1:12">
      <c r="A267" s="3" t="s">
        <v>291</v>
      </c>
      <c r="B267" s="3" t="s">
        <v>22</v>
      </c>
      <c r="C267" s="3" t="s">
        <v>50</v>
      </c>
      <c r="D267" s="3" t="s">
        <v>42</v>
      </c>
      <c r="E267" s="3" t="s">
        <v>24</v>
      </c>
      <c r="F267" s="3" t="s">
        <v>20</v>
      </c>
      <c r="G267" s="4">
        <v>45189</v>
      </c>
      <c r="H267">
        <v>175</v>
      </c>
      <c r="I267">
        <v>337.36</v>
      </c>
      <c r="J267" s="3">
        <v>312.60000000000002</v>
      </c>
      <c r="K267" s="35">
        <f>Table3[[#This Row],[Units Sold]]*Table3[[#This Row],[Unit Price]]</f>
        <v>59038</v>
      </c>
      <c r="L267">
        <f t="shared" si="4"/>
        <v>4332.9999999999982</v>
      </c>
    </row>
    <row r="268" spans="1:12">
      <c r="A268" s="3" t="s">
        <v>292</v>
      </c>
      <c r="B268" s="3" t="s">
        <v>22</v>
      </c>
      <c r="C268" s="3" t="s">
        <v>18</v>
      </c>
      <c r="E268" s="3" t="s">
        <v>14</v>
      </c>
      <c r="F268" s="3" t="s">
        <v>15</v>
      </c>
      <c r="G268" s="4">
        <v>45190</v>
      </c>
      <c r="H268">
        <v>441</v>
      </c>
      <c r="I268">
        <v>405.72</v>
      </c>
      <c r="J268" s="3">
        <v>88.45</v>
      </c>
      <c r="K268" s="35">
        <f>Table3[[#This Row],[Units Sold]]*Table3[[#This Row],[Unit Price]]</f>
        <v>178922.52000000002</v>
      </c>
      <c r="L268">
        <f t="shared" si="4"/>
        <v>139916.07</v>
      </c>
    </row>
    <row r="269" spans="1:12">
      <c r="A269" s="3" t="s">
        <v>293</v>
      </c>
      <c r="B269" s="3" t="s">
        <v>11</v>
      </c>
      <c r="C269" s="3" t="s">
        <v>12</v>
      </c>
      <c r="D269" s="3" t="s">
        <v>23</v>
      </c>
      <c r="E269" s="3" t="s">
        <v>24</v>
      </c>
      <c r="F269" s="3" t="s">
        <v>28</v>
      </c>
      <c r="G269" s="4">
        <v>45191</v>
      </c>
      <c r="H269">
        <v>453</v>
      </c>
      <c r="I269">
        <v>384.49</v>
      </c>
      <c r="J269" s="3">
        <v>56.85</v>
      </c>
      <c r="K269" s="35">
        <f>Table3[[#This Row],[Units Sold]]*Table3[[#This Row],[Unit Price]]</f>
        <v>174173.97</v>
      </c>
      <c r="L269">
        <f t="shared" si="4"/>
        <v>148420.91999999998</v>
      </c>
    </row>
    <row r="270" spans="1:12">
      <c r="A270" s="3" t="s">
        <v>294</v>
      </c>
      <c r="B270" s="3" t="s">
        <v>48</v>
      </c>
      <c r="C270" s="3" t="s">
        <v>26</v>
      </c>
      <c r="D270" s="3" t="s">
        <v>27</v>
      </c>
      <c r="E270" s="3" t="s">
        <v>14</v>
      </c>
      <c r="F270" s="3" t="s">
        <v>28</v>
      </c>
      <c r="G270" s="4">
        <v>45192</v>
      </c>
      <c r="H270">
        <v>328</v>
      </c>
      <c r="I270">
        <v>79.099999999999994</v>
      </c>
      <c r="J270" s="3">
        <v>265.89</v>
      </c>
      <c r="K270" s="35">
        <f>Table3[[#This Row],[Units Sold]]*Table3[[#This Row],[Unit Price]]</f>
        <v>25944.799999999999</v>
      </c>
      <c r="L270">
        <f t="shared" si="4"/>
        <v>-61267.119999999995</v>
      </c>
    </row>
    <row r="271" spans="1:12">
      <c r="A271" s="3" t="s">
        <v>295</v>
      </c>
      <c r="B271" s="3" t="s">
        <v>17</v>
      </c>
      <c r="C271" s="3" t="s">
        <v>50</v>
      </c>
      <c r="D271" s="3" t="s">
        <v>42</v>
      </c>
      <c r="E271" s="3" t="s">
        <v>24</v>
      </c>
      <c r="F271" s="3" t="s">
        <v>28</v>
      </c>
      <c r="G271" s="4">
        <v>45193</v>
      </c>
      <c r="H271">
        <v>223</v>
      </c>
      <c r="I271">
        <v>214.85</v>
      </c>
      <c r="J271" s="3">
        <v>2.75</v>
      </c>
      <c r="K271" s="35">
        <f>Table3[[#This Row],[Units Sold]]*Table3[[#This Row],[Unit Price]]</f>
        <v>47911.549999999996</v>
      </c>
      <c r="L271">
        <f t="shared" si="4"/>
        <v>47298.299999999996</v>
      </c>
    </row>
    <row r="272" spans="1:12">
      <c r="A272" s="3" t="s">
        <v>296</v>
      </c>
      <c r="B272" s="3" t="s">
        <v>17</v>
      </c>
      <c r="C272" s="3" t="s">
        <v>18</v>
      </c>
      <c r="D272" s="3" t="s">
        <v>13</v>
      </c>
      <c r="E272" s="3" t="s">
        <v>14</v>
      </c>
      <c r="F272" s="3" t="s">
        <v>28</v>
      </c>
      <c r="G272" s="4">
        <v>45194</v>
      </c>
      <c r="H272">
        <v>126</v>
      </c>
      <c r="I272">
        <v>80.73</v>
      </c>
      <c r="J272" s="3">
        <v>72.989999999999995</v>
      </c>
      <c r="K272" s="35">
        <f>Table3[[#This Row],[Units Sold]]*Table3[[#This Row],[Unit Price]]</f>
        <v>10171.980000000001</v>
      </c>
      <c r="L272">
        <f t="shared" si="4"/>
        <v>975.24000000000115</v>
      </c>
    </row>
    <row r="273" spans="1:12">
      <c r="A273" s="3" t="s">
        <v>297</v>
      </c>
      <c r="B273" s="3" t="s">
        <v>11</v>
      </c>
      <c r="C273" s="3" t="s">
        <v>31</v>
      </c>
      <c r="D273" s="3" t="s">
        <v>19</v>
      </c>
      <c r="E273" s="3" t="s">
        <v>14</v>
      </c>
      <c r="F273" s="3" t="s">
        <v>28</v>
      </c>
      <c r="G273" s="4">
        <v>45195</v>
      </c>
      <c r="H273">
        <v>395</v>
      </c>
      <c r="I273">
        <v>121.44</v>
      </c>
      <c r="J273" s="3">
        <v>13.57</v>
      </c>
      <c r="K273" s="35">
        <f>Table3[[#This Row],[Units Sold]]*Table3[[#This Row],[Unit Price]]</f>
        <v>47968.799999999996</v>
      </c>
      <c r="L273">
        <f t="shared" si="4"/>
        <v>42608.65</v>
      </c>
    </row>
    <row r="274" spans="1:12">
      <c r="A274" s="3" t="s">
        <v>298</v>
      </c>
      <c r="B274" s="3" t="s">
        <v>11</v>
      </c>
      <c r="C274" s="3" t="s">
        <v>18</v>
      </c>
      <c r="D274" s="3" t="s">
        <v>27</v>
      </c>
      <c r="E274" s="3" t="s">
        <v>24</v>
      </c>
      <c r="F274" s="3" t="s">
        <v>15</v>
      </c>
      <c r="G274" s="4">
        <v>45196</v>
      </c>
      <c r="H274">
        <v>353</v>
      </c>
      <c r="I274">
        <v>435.28</v>
      </c>
      <c r="J274" s="3">
        <v>68.42</v>
      </c>
      <c r="K274" s="35">
        <f>Table3[[#This Row],[Units Sold]]*Table3[[#This Row],[Unit Price]]</f>
        <v>153653.84</v>
      </c>
      <c r="L274">
        <f t="shared" si="4"/>
        <v>129501.57999999999</v>
      </c>
    </row>
    <row r="275" spans="1:12">
      <c r="A275" s="3" t="s">
        <v>299</v>
      </c>
      <c r="B275" s="3" t="s">
        <v>48</v>
      </c>
      <c r="C275" s="3" t="s">
        <v>31</v>
      </c>
      <c r="D275" s="3" t="s">
        <v>27</v>
      </c>
      <c r="E275" s="3" t="s">
        <v>24</v>
      </c>
      <c r="F275" s="3" t="s">
        <v>15</v>
      </c>
      <c r="G275" s="4">
        <v>45197</v>
      </c>
      <c r="H275">
        <v>81</v>
      </c>
      <c r="I275">
        <v>239.08</v>
      </c>
      <c r="J275" s="3">
        <v>74.17</v>
      </c>
      <c r="K275" s="35">
        <f>Table3[[#This Row],[Units Sold]]*Table3[[#This Row],[Unit Price]]</f>
        <v>19365.48</v>
      </c>
      <c r="L275">
        <f t="shared" si="4"/>
        <v>13357.710000000003</v>
      </c>
    </row>
    <row r="276" spans="1:12">
      <c r="A276" s="3" t="s">
        <v>300</v>
      </c>
      <c r="B276" s="3" t="s">
        <v>17</v>
      </c>
      <c r="C276" s="3" t="s">
        <v>12</v>
      </c>
      <c r="D276" s="3" t="s">
        <v>23</v>
      </c>
      <c r="E276" s="3" t="s">
        <v>24</v>
      </c>
      <c r="F276" s="3" t="s">
        <v>15</v>
      </c>
      <c r="G276" s="4">
        <v>45198</v>
      </c>
      <c r="H276">
        <v>404</v>
      </c>
      <c r="I276">
        <v>270</v>
      </c>
      <c r="J276" s="3">
        <v>156.29</v>
      </c>
      <c r="K276" s="35">
        <f>Table3[[#This Row],[Units Sold]]*Table3[[#This Row],[Unit Price]]</f>
        <v>109080</v>
      </c>
      <c r="L276">
        <f t="shared" si="4"/>
        <v>45938.840000000004</v>
      </c>
    </row>
    <row r="277" spans="1:12">
      <c r="A277" s="3" t="s">
        <v>301</v>
      </c>
      <c r="B277" s="3" t="s">
        <v>17</v>
      </c>
      <c r="C277" s="3" t="s">
        <v>26</v>
      </c>
      <c r="D277" s="3" t="s">
        <v>23</v>
      </c>
      <c r="E277" s="3" t="s">
        <v>24</v>
      </c>
      <c r="F277" s="3" t="s">
        <v>15</v>
      </c>
      <c r="G277" s="4">
        <v>45199</v>
      </c>
      <c r="H277">
        <v>73</v>
      </c>
      <c r="I277">
        <v>93.33</v>
      </c>
      <c r="J277" s="3">
        <v>162.13</v>
      </c>
      <c r="K277" s="35">
        <f>Table3[[#This Row],[Units Sold]]*Table3[[#This Row],[Unit Price]]</f>
        <v>6813.09</v>
      </c>
      <c r="L277">
        <f t="shared" si="4"/>
        <v>-5022.3999999999996</v>
      </c>
    </row>
    <row r="278" spans="1:12">
      <c r="A278" s="3" t="s">
        <v>302</v>
      </c>
      <c r="B278" s="3" t="s">
        <v>17</v>
      </c>
      <c r="C278" s="3" t="s">
        <v>18</v>
      </c>
      <c r="D278" s="3" t="s">
        <v>13</v>
      </c>
      <c r="E278" s="3" t="s">
        <v>14</v>
      </c>
      <c r="F278" s="3" t="s">
        <v>28</v>
      </c>
      <c r="G278" s="4">
        <v>45200</v>
      </c>
      <c r="H278">
        <v>214</v>
      </c>
      <c r="I278">
        <v>159.57</v>
      </c>
      <c r="J278" s="3">
        <v>349.96</v>
      </c>
      <c r="K278" s="35">
        <f>Table3[[#This Row],[Units Sold]]*Table3[[#This Row],[Unit Price]]</f>
        <v>34147.979999999996</v>
      </c>
      <c r="L278">
        <f t="shared" si="4"/>
        <v>-40743.46</v>
      </c>
    </row>
    <row r="279" spans="1:12">
      <c r="A279" s="3" t="s">
        <v>303</v>
      </c>
      <c r="B279" s="3" t="s">
        <v>22</v>
      </c>
      <c r="C279" s="3" t="s">
        <v>50</v>
      </c>
      <c r="D279" s="3" t="s">
        <v>13</v>
      </c>
      <c r="E279" s="3" t="s">
        <v>24</v>
      </c>
      <c r="F279" s="3" t="s">
        <v>20</v>
      </c>
      <c r="G279" s="4">
        <v>45201</v>
      </c>
      <c r="H279">
        <v>218</v>
      </c>
      <c r="I279">
        <v>118.97</v>
      </c>
      <c r="J279" s="3">
        <v>205.02</v>
      </c>
      <c r="K279" s="35">
        <f>Table3[[#This Row],[Units Sold]]*Table3[[#This Row],[Unit Price]]</f>
        <v>25935.46</v>
      </c>
      <c r="L279">
        <f t="shared" si="4"/>
        <v>-18758.900000000001</v>
      </c>
    </row>
    <row r="280" spans="1:12">
      <c r="A280" s="3" t="s">
        <v>304</v>
      </c>
      <c r="B280" s="3" t="s">
        <v>17</v>
      </c>
      <c r="C280" s="3" t="s">
        <v>12</v>
      </c>
      <c r="D280" s="3" t="s">
        <v>42</v>
      </c>
      <c r="E280" s="3" t="s">
        <v>24</v>
      </c>
      <c r="F280" s="3" t="s">
        <v>15</v>
      </c>
      <c r="G280" s="4">
        <v>45202</v>
      </c>
      <c r="H280">
        <v>81</v>
      </c>
      <c r="I280">
        <v>107.06</v>
      </c>
      <c r="J280" s="3">
        <v>289.92</v>
      </c>
      <c r="K280" s="35">
        <f>Table3[[#This Row],[Units Sold]]*Table3[[#This Row],[Unit Price]]</f>
        <v>8671.86</v>
      </c>
      <c r="L280">
        <f t="shared" si="4"/>
        <v>-14811.660000000002</v>
      </c>
    </row>
    <row r="281" spans="1:12">
      <c r="A281" s="3" t="s">
        <v>305</v>
      </c>
      <c r="B281" s="3" t="s">
        <v>22</v>
      </c>
      <c r="C281" s="3" t="s">
        <v>18</v>
      </c>
      <c r="D281" s="3" t="s">
        <v>42</v>
      </c>
      <c r="E281" s="3" t="s">
        <v>24</v>
      </c>
      <c r="F281" s="3" t="s">
        <v>20</v>
      </c>
      <c r="G281" s="4">
        <v>45203</v>
      </c>
      <c r="H281">
        <v>286</v>
      </c>
      <c r="I281">
        <v>320.79000000000002</v>
      </c>
      <c r="J281" s="3">
        <v>43.45</v>
      </c>
      <c r="K281" s="35">
        <f>Table3[[#This Row],[Units Sold]]*Table3[[#This Row],[Unit Price]]</f>
        <v>91745.94</v>
      </c>
      <c r="L281">
        <f t="shared" si="4"/>
        <v>79319.240000000005</v>
      </c>
    </row>
    <row r="282" spans="1:12">
      <c r="A282" s="3" t="s">
        <v>306</v>
      </c>
      <c r="B282" s="3" t="s">
        <v>48</v>
      </c>
      <c r="C282" s="3" t="s">
        <v>50</v>
      </c>
      <c r="D282" s="3" t="s">
        <v>13</v>
      </c>
      <c r="E282" s="3" t="s">
        <v>14</v>
      </c>
      <c r="F282" s="3" t="s">
        <v>15</v>
      </c>
      <c r="G282" s="4">
        <v>45204</v>
      </c>
      <c r="H282">
        <v>283</v>
      </c>
      <c r="I282">
        <v>132.16</v>
      </c>
      <c r="J282" s="3">
        <v>91.72</v>
      </c>
      <c r="K282" s="35">
        <f>Table3[[#This Row],[Units Sold]]*Table3[[#This Row],[Unit Price]]</f>
        <v>37401.279999999999</v>
      </c>
      <c r="L282">
        <f t="shared" si="4"/>
        <v>11444.519999999999</v>
      </c>
    </row>
    <row r="283" spans="1:12">
      <c r="A283" s="3" t="s">
        <v>307</v>
      </c>
      <c r="B283" s="3" t="s">
        <v>22</v>
      </c>
      <c r="C283" s="3" t="s">
        <v>18</v>
      </c>
      <c r="D283" s="3" t="s">
        <v>13</v>
      </c>
      <c r="E283" s="3" t="s">
        <v>14</v>
      </c>
      <c r="F283" s="3" t="s">
        <v>15</v>
      </c>
      <c r="G283" s="4">
        <v>45205</v>
      </c>
      <c r="H283">
        <v>487</v>
      </c>
      <c r="I283">
        <v>317.85000000000002</v>
      </c>
      <c r="J283" s="3">
        <v>281.77</v>
      </c>
      <c r="K283" s="35">
        <f>Table3[[#This Row],[Units Sold]]*Table3[[#This Row],[Unit Price]]</f>
        <v>154792.95000000001</v>
      </c>
      <c r="L283">
        <f t="shared" si="4"/>
        <v>17570.960000000021</v>
      </c>
    </row>
    <row r="284" spans="1:12">
      <c r="A284" s="3" t="s">
        <v>308</v>
      </c>
      <c r="B284" s="3" t="s">
        <v>48</v>
      </c>
      <c r="C284" s="3" t="s">
        <v>31</v>
      </c>
      <c r="D284" s="3" t="s">
        <v>19</v>
      </c>
      <c r="E284" s="3" t="s">
        <v>24</v>
      </c>
      <c r="F284" s="3" t="s">
        <v>20</v>
      </c>
      <c r="G284" s="4">
        <v>45206</v>
      </c>
      <c r="H284">
        <v>329</v>
      </c>
      <c r="I284">
        <v>33.94</v>
      </c>
      <c r="J284" s="3">
        <v>23.02</v>
      </c>
      <c r="K284" s="35">
        <f>Table3[[#This Row],[Units Sold]]*Table3[[#This Row],[Unit Price]]</f>
        <v>11166.259999999998</v>
      </c>
      <c r="L284">
        <f t="shared" si="4"/>
        <v>3592.6799999999994</v>
      </c>
    </row>
    <row r="285" spans="1:12">
      <c r="A285" s="3" t="s">
        <v>309</v>
      </c>
      <c r="B285" s="3" t="s">
        <v>17</v>
      </c>
      <c r="C285" s="3" t="s">
        <v>18</v>
      </c>
      <c r="D285" s="3" t="s">
        <v>23</v>
      </c>
      <c r="E285" s="3" t="s">
        <v>14</v>
      </c>
      <c r="F285" s="3" t="s">
        <v>28</v>
      </c>
      <c r="G285" s="4">
        <v>45207</v>
      </c>
      <c r="H285">
        <v>347</v>
      </c>
      <c r="I285">
        <v>75.180000000000007</v>
      </c>
      <c r="J285" s="3">
        <v>195.67</v>
      </c>
      <c r="K285" s="35">
        <f>Table3[[#This Row],[Units Sold]]*Table3[[#This Row],[Unit Price]]</f>
        <v>26087.460000000003</v>
      </c>
      <c r="L285">
        <f t="shared" si="4"/>
        <v>-41810.029999999992</v>
      </c>
    </row>
    <row r="286" spans="1:12">
      <c r="A286" s="3" t="s">
        <v>310</v>
      </c>
      <c r="B286" s="3" t="s">
        <v>17</v>
      </c>
      <c r="C286" s="3" t="s">
        <v>18</v>
      </c>
      <c r="D286" s="3" t="s">
        <v>42</v>
      </c>
      <c r="E286" s="3" t="s">
        <v>24</v>
      </c>
      <c r="F286" s="3" t="s">
        <v>15</v>
      </c>
      <c r="G286" s="4">
        <v>45208</v>
      </c>
      <c r="H286">
        <v>375</v>
      </c>
      <c r="I286">
        <v>140.9</v>
      </c>
      <c r="J286" s="3">
        <v>240.55</v>
      </c>
      <c r="K286" s="35">
        <f>Table3[[#This Row],[Units Sold]]*Table3[[#This Row],[Unit Price]]</f>
        <v>52837.5</v>
      </c>
      <c r="L286">
        <f t="shared" si="4"/>
        <v>-37368.75</v>
      </c>
    </row>
    <row r="287" spans="1:12">
      <c r="A287" s="3" t="s">
        <v>311</v>
      </c>
      <c r="B287" s="3" t="s">
        <v>48</v>
      </c>
      <c r="C287" s="3" t="s">
        <v>18</v>
      </c>
      <c r="D287" s="3" t="s">
        <v>23</v>
      </c>
      <c r="E287" s="3" t="s">
        <v>14</v>
      </c>
      <c r="F287" s="3" t="s">
        <v>15</v>
      </c>
      <c r="G287" s="4">
        <v>45209</v>
      </c>
      <c r="H287">
        <v>104</v>
      </c>
      <c r="I287">
        <v>300.54000000000002</v>
      </c>
      <c r="J287" s="3">
        <v>241.65</v>
      </c>
      <c r="K287" s="35">
        <f>Table3[[#This Row],[Units Sold]]*Table3[[#This Row],[Unit Price]]</f>
        <v>31256.160000000003</v>
      </c>
      <c r="L287">
        <f t="shared" si="4"/>
        <v>6124.5600000000013</v>
      </c>
    </row>
    <row r="288" spans="1:12">
      <c r="A288" s="3" t="s">
        <v>312</v>
      </c>
      <c r="B288" s="3" t="s">
        <v>11</v>
      </c>
      <c r="C288" s="3" t="s">
        <v>12</v>
      </c>
      <c r="E288" s="3" t="s">
        <v>14</v>
      </c>
      <c r="F288" s="3" t="s">
        <v>15</v>
      </c>
      <c r="G288" s="4">
        <v>45210</v>
      </c>
      <c r="H288">
        <v>175</v>
      </c>
      <c r="I288">
        <v>339.54</v>
      </c>
      <c r="J288" s="3">
        <v>11.13</v>
      </c>
      <c r="K288" s="35">
        <f>Table3[[#This Row],[Units Sold]]*Table3[[#This Row],[Unit Price]]</f>
        <v>59419.5</v>
      </c>
      <c r="L288">
        <f t="shared" si="4"/>
        <v>57471.750000000007</v>
      </c>
    </row>
    <row r="289" spans="1:12">
      <c r="A289" s="3" t="s">
        <v>313</v>
      </c>
      <c r="B289" s="3" t="s">
        <v>48</v>
      </c>
      <c r="C289" s="3" t="s">
        <v>18</v>
      </c>
      <c r="D289" s="3" t="s">
        <v>13</v>
      </c>
      <c r="E289" s="3" t="s">
        <v>14</v>
      </c>
      <c r="F289" s="3" t="s">
        <v>20</v>
      </c>
      <c r="G289" s="4">
        <v>45211</v>
      </c>
      <c r="H289">
        <v>41</v>
      </c>
      <c r="I289">
        <v>224.14</v>
      </c>
      <c r="J289" s="3">
        <v>130.19999999999999</v>
      </c>
      <c r="K289" s="35">
        <f>Table3[[#This Row],[Units Sold]]*Table3[[#This Row],[Unit Price]]</f>
        <v>9189.74</v>
      </c>
      <c r="L289">
        <f t="shared" si="4"/>
        <v>3851.54</v>
      </c>
    </row>
    <row r="290" spans="1:12">
      <c r="A290" s="3" t="s">
        <v>314</v>
      </c>
      <c r="B290" s="3" t="s">
        <v>11</v>
      </c>
      <c r="C290" s="3" t="s">
        <v>50</v>
      </c>
      <c r="D290" s="3" t="s">
        <v>19</v>
      </c>
      <c r="E290" s="3" t="s">
        <v>14</v>
      </c>
      <c r="F290" s="3" t="s">
        <v>28</v>
      </c>
      <c r="G290" s="4">
        <v>45212</v>
      </c>
      <c r="H290">
        <v>20</v>
      </c>
      <c r="I290">
        <v>225.67</v>
      </c>
      <c r="J290" s="3">
        <v>255.32</v>
      </c>
      <c r="K290" s="35">
        <f>Table3[[#This Row],[Units Sold]]*Table3[[#This Row],[Unit Price]]</f>
        <v>4513.3999999999996</v>
      </c>
      <c r="L290">
        <f t="shared" si="4"/>
        <v>-593.00000000000011</v>
      </c>
    </row>
    <row r="291" spans="1:12">
      <c r="A291" s="3" t="s">
        <v>315</v>
      </c>
      <c r="B291" s="3" t="s">
        <v>22</v>
      </c>
      <c r="C291" s="3" t="s">
        <v>31</v>
      </c>
      <c r="D291" s="3" t="s">
        <v>27</v>
      </c>
      <c r="E291" s="3" t="s">
        <v>24</v>
      </c>
      <c r="F291" s="3" t="s">
        <v>20</v>
      </c>
      <c r="G291" s="4">
        <v>45213</v>
      </c>
      <c r="H291">
        <v>310</v>
      </c>
      <c r="I291">
        <v>363.64</v>
      </c>
      <c r="J291" s="3">
        <v>61.3</v>
      </c>
      <c r="K291" s="35">
        <f>Table3[[#This Row],[Units Sold]]*Table3[[#This Row],[Unit Price]]</f>
        <v>112728.4</v>
      </c>
      <c r="L291">
        <f t="shared" si="4"/>
        <v>93725.4</v>
      </c>
    </row>
    <row r="292" spans="1:12">
      <c r="A292" s="3" t="s">
        <v>316</v>
      </c>
      <c r="B292" s="3" t="s">
        <v>22</v>
      </c>
      <c r="C292" s="3" t="s">
        <v>31</v>
      </c>
      <c r="D292" s="3" t="s">
        <v>19</v>
      </c>
      <c r="E292" s="3" t="s">
        <v>24</v>
      </c>
      <c r="F292" s="3" t="s">
        <v>20</v>
      </c>
      <c r="G292" s="4">
        <v>45214</v>
      </c>
      <c r="H292">
        <v>226</v>
      </c>
      <c r="I292">
        <v>255.4</v>
      </c>
      <c r="J292" s="3">
        <v>278.77999999999997</v>
      </c>
      <c r="K292" s="35">
        <f>Table3[[#This Row],[Units Sold]]*Table3[[#This Row],[Unit Price]]</f>
        <v>57720.4</v>
      </c>
      <c r="L292">
        <f t="shared" si="4"/>
        <v>-5283.8799999999928</v>
      </c>
    </row>
    <row r="293" spans="1:12">
      <c r="A293" s="3" t="s">
        <v>317</v>
      </c>
      <c r="B293" s="3" t="s">
        <v>22</v>
      </c>
      <c r="C293" s="3" t="s">
        <v>18</v>
      </c>
      <c r="D293" s="3" t="s">
        <v>19</v>
      </c>
      <c r="E293" s="3" t="s">
        <v>24</v>
      </c>
      <c r="F293" s="3" t="s">
        <v>28</v>
      </c>
      <c r="G293" s="4">
        <v>45215</v>
      </c>
      <c r="H293">
        <v>248.5</v>
      </c>
      <c r="I293">
        <v>173.84</v>
      </c>
      <c r="J293" s="3">
        <v>298.88</v>
      </c>
      <c r="K293" s="35">
        <f>Table3[[#This Row],[Units Sold]]*Table3[[#This Row],[Unit Price]]</f>
        <v>43199.24</v>
      </c>
      <c r="L293">
        <f t="shared" si="4"/>
        <v>-31072.44</v>
      </c>
    </row>
    <row r="294" spans="1:12">
      <c r="A294" s="3" t="s">
        <v>318</v>
      </c>
      <c r="B294" s="3" t="s">
        <v>17</v>
      </c>
      <c r="C294" s="3" t="s">
        <v>12</v>
      </c>
      <c r="D294" s="3" t="s">
        <v>23</v>
      </c>
      <c r="E294" s="3" t="s">
        <v>14</v>
      </c>
      <c r="F294" s="3" t="s">
        <v>20</v>
      </c>
      <c r="G294" s="4">
        <v>45216</v>
      </c>
      <c r="H294">
        <v>111</v>
      </c>
      <c r="I294">
        <v>410.26</v>
      </c>
      <c r="J294" s="3">
        <v>392.82</v>
      </c>
      <c r="K294" s="35">
        <f>Table3[[#This Row],[Units Sold]]*Table3[[#This Row],[Unit Price]]</f>
        <v>45538.86</v>
      </c>
      <c r="L294">
        <f t="shared" si="4"/>
        <v>1935.8399999999997</v>
      </c>
    </row>
    <row r="295" spans="1:12">
      <c r="A295" s="3" t="s">
        <v>319</v>
      </c>
      <c r="B295" s="3" t="s">
        <v>22</v>
      </c>
      <c r="C295" s="3" t="s">
        <v>12</v>
      </c>
      <c r="D295" s="3" t="s">
        <v>19</v>
      </c>
      <c r="E295" s="3" t="s">
        <v>24</v>
      </c>
      <c r="F295" s="3" t="s">
        <v>28</v>
      </c>
      <c r="G295" s="4">
        <v>45217</v>
      </c>
      <c r="H295">
        <v>434</v>
      </c>
      <c r="I295">
        <v>303.58999999999997</v>
      </c>
      <c r="J295" s="3">
        <v>85.52</v>
      </c>
      <c r="K295" s="35">
        <f>Table3[[#This Row],[Units Sold]]*Table3[[#This Row],[Unit Price]]</f>
        <v>131758.06</v>
      </c>
      <c r="L295">
        <f t="shared" si="4"/>
        <v>94642.37999999999</v>
      </c>
    </row>
    <row r="296" spans="1:12">
      <c r="A296" s="3" t="s">
        <v>320</v>
      </c>
      <c r="B296" s="3" t="s">
        <v>11</v>
      </c>
      <c r="C296" s="3" t="s">
        <v>50</v>
      </c>
      <c r="D296" s="3" t="s">
        <v>42</v>
      </c>
      <c r="E296" s="3" t="s">
        <v>24</v>
      </c>
      <c r="F296" s="3" t="s">
        <v>15</v>
      </c>
      <c r="G296" s="4">
        <v>45218</v>
      </c>
      <c r="H296">
        <v>401</v>
      </c>
      <c r="I296">
        <v>171.93</v>
      </c>
      <c r="J296" s="3">
        <v>330.4</v>
      </c>
      <c r="K296" s="35">
        <f>Table3[[#This Row],[Units Sold]]*Table3[[#This Row],[Unit Price]]</f>
        <v>68943.930000000008</v>
      </c>
      <c r="L296">
        <f t="shared" si="4"/>
        <v>-63546.469999999987</v>
      </c>
    </row>
    <row r="297" spans="1:12">
      <c r="A297" s="3" t="s">
        <v>321</v>
      </c>
      <c r="B297" s="3" t="s">
        <v>22</v>
      </c>
      <c r="C297" s="3" t="s">
        <v>18</v>
      </c>
      <c r="D297" s="3" t="s">
        <v>23</v>
      </c>
      <c r="E297" s="3" t="s">
        <v>24</v>
      </c>
      <c r="F297" s="3" t="s">
        <v>28</v>
      </c>
      <c r="G297" s="4">
        <v>45219</v>
      </c>
      <c r="H297">
        <v>276</v>
      </c>
      <c r="I297">
        <v>453.23</v>
      </c>
      <c r="J297" s="3">
        <v>209.08</v>
      </c>
      <c r="K297" s="35">
        <f>Table3[[#This Row],[Units Sold]]*Table3[[#This Row],[Unit Price]]</f>
        <v>125091.48000000001</v>
      </c>
      <c r="L297">
        <f t="shared" si="4"/>
        <v>67385.400000000009</v>
      </c>
    </row>
    <row r="298" spans="1:12">
      <c r="A298" s="3" t="s">
        <v>322</v>
      </c>
      <c r="B298" s="3" t="s">
        <v>48</v>
      </c>
      <c r="C298" s="3" t="s">
        <v>31</v>
      </c>
      <c r="D298" s="3" t="s">
        <v>42</v>
      </c>
      <c r="E298" s="3" t="s">
        <v>14</v>
      </c>
      <c r="F298" s="3" t="s">
        <v>15</v>
      </c>
      <c r="G298" s="4">
        <v>45220</v>
      </c>
      <c r="H298">
        <v>248.5</v>
      </c>
      <c r="I298">
        <v>387.45</v>
      </c>
      <c r="J298" s="3">
        <v>150.63999999999999</v>
      </c>
      <c r="K298" s="35">
        <f>Table3[[#This Row],[Units Sold]]*Table3[[#This Row],[Unit Price]]</f>
        <v>96281.324999999997</v>
      </c>
      <c r="L298">
        <f t="shared" si="4"/>
        <v>58847.285000000003</v>
      </c>
    </row>
    <row r="299" spans="1:12">
      <c r="A299" s="3" t="s">
        <v>323</v>
      </c>
      <c r="B299" s="3" t="s">
        <v>48</v>
      </c>
      <c r="C299" s="3" t="s">
        <v>12</v>
      </c>
      <c r="D299" s="3" t="s">
        <v>27</v>
      </c>
      <c r="E299" s="3" t="s">
        <v>14</v>
      </c>
      <c r="F299" s="3" t="s">
        <v>20</v>
      </c>
      <c r="G299" s="4">
        <v>45221</v>
      </c>
      <c r="H299">
        <v>188</v>
      </c>
      <c r="I299">
        <v>136.12</v>
      </c>
      <c r="J299" s="3">
        <v>50.71</v>
      </c>
      <c r="K299" s="35">
        <f>Table3[[#This Row],[Units Sold]]*Table3[[#This Row],[Unit Price]]</f>
        <v>25590.560000000001</v>
      </c>
      <c r="L299">
        <f t="shared" si="4"/>
        <v>16057.08</v>
      </c>
    </row>
    <row r="300" spans="1:12">
      <c r="A300" s="3" t="s">
        <v>324</v>
      </c>
      <c r="B300" s="3" t="s">
        <v>17</v>
      </c>
      <c r="C300" s="3" t="s">
        <v>18</v>
      </c>
      <c r="D300" s="3" t="s">
        <v>23</v>
      </c>
      <c r="E300" s="3" t="s">
        <v>14</v>
      </c>
      <c r="F300" s="3" t="s">
        <v>20</v>
      </c>
      <c r="G300" s="4">
        <v>45222</v>
      </c>
      <c r="H300">
        <v>97</v>
      </c>
      <c r="I300">
        <v>324.42</v>
      </c>
      <c r="J300" s="3">
        <v>294.73</v>
      </c>
      <c r="K300" s="35">
        <f>Table3[[#This Row],[Units Sold]]*Table3[[#This Row],[Unit Price]]</f>
        <v>31468.74</v>
      </c>
      <c r="L300">
        <f t="shared" si="4"/>
        <v>2879.93</v>
      </c>
    </row>
    <row r="301" spans="1:12">
      <c r="A301" s="3" t="s">
        <v>325</v>
      </c>
      <c r="B301" s="3" t="s">
        <v>48</v>
      </c>
      <c r="C301" s="3" t="s">
        <v>12</v>
      </c>
      <c r="D301" s="3" t="s">
        <v>27</v>
      </c>
      <c r="E301" s="3" t="s">
        <v>24</v>
      </c>
      <c r="F301" s="3" t="s">
        <v>15</v>
      </c>
      <c r="G301" s="4">
        <v>45223</v>
      </c>
      <c r="H301">
        <v>50</v>
      </c>
      <c r="I301">
        <v>299.89999999999998</v>
      </c>
      <c r="J301" s="3">
        <v>95.87</v>
      </c>
      <c r="K301" s="35">
        <f>Table3[[#This Row],[Units Sold]]*Table3[[#This Row],[Unit Price]]</f>
        <v>14994.999999999998</v>
      </c>
      <c r="L301">
        <f t="shared" si="4"/>
        <v>10201.499999999998</v>
      </c>
    </row>
    <row r="302" spans="1:12">
      <c r="A302" s="3" t="s">
        <v>326</v>
      </c>
      <c r="B302" s="3" t="s">
        <v>11</v>
      </c>
      <c r="C302" s="3" t="s">
        <v>12</v>
      </c>
      <c r="D302" s="3" t="s">
        <v>23</v>
      </c>
      <c r="E302" s="3" t="s">
        <v>24</v>
      </c>
      <c r="F302" s="3" t="s">
        <v>20</v>
      </c>
      <c r="G302" s="4">
        <v>45224</v>
      </c>
      <c r="H302">
        <v>410</v>
      </c>
      <c r="I302">
        <v>203.59</v>
      </c>
      <c r="J302" s="3">
        <v>149.83000000000001</v>
      </c>
      <c r="K302" s="35">
        <f>Table3[[#This Row],[Units Sold]]*Table3[[#This Row],[Unit Price]]</f>
        <v>83471.899999999994</v>
      </c>
      <c r="L302">
        <f t="shared" si="4"/>
        <v>22041.599999999995</v>
      </c>
    </row>
    <row r="303" spans="1:12">
      <c r="A303" s="3" t="s">
        <v>327</v>
      </c>
      <c r="B303" s="3" t="s">
        <v>22</v>
      </c>
      <c r="C303" s="3" t="s">
        <v>31</v>
      </c>
      <c r="D303" s="3" t="s">
        <v>13</v>
      </c>
      <c r="E303" s="3" t="s">
        <v>24</v>
      </c>
      <c r="F303" s="3" t="s">
        <v>28</v>
      </c>
      <c r="G303" s="4">
        <v>45225</v>
      </c>
      <c r="H303">
        <v>85</v>
      </c>
      <c r="I303">
        <v>186.64</v>
      </c>
      <c r="J303" s="3">
        <v>26.89</v>
      </c>
      <c r="K303" s="35">
        <f>Table3[[#This Row],[Units Sold]]*Table3[[#This Row],[Unit Price]]</f>
        <v>15864.4</v>
      </c>
      <c r="L303">
        <f t="shared" si="4"/>
        <v>13578.75</v>
      </c>
    </row>
    <row r="304" spans="1:12">
      <c r="A304" s="3" t="s">
        <v>328</v>
      </c>
      <c r="B304" s="3" t="s">
        <v>17</v>
      </c>
      <c r="C304" s="3" t="s">
        <v>26</v>
      </c>
      <c r="D304" s="3" t="s">
        <v>19</v>
      </c>
      <c r="E304" s="3" t="s">
        <v>14</v>
      </c>
      <c r="F304" s="3" t="s">
        <v>15</v>
      </c>
      <c r="G304" s="4">
        <v>45226</v>
      </c>
      <c r="H304">
        <v>386</v>
      </c>
      <c r="I304">
        <v>175.06</v>
      </c>
      <c r="J304" s="3">
        <v>320.94</v>
      </c>
      <c r="K304" s="35">
        <f>Table3[[#This Row],[Units Sold]]*Table3[[#This Row],[Unit Price]]</f>
        <v>67573.16</v>
      </c>
      <c r="L304">
        <f t="shared" si="4"/>
        <v>-56309.68</v>
      </c>
    </row>
    <row r="305" spans="1:12">
      <c r="A305" s="3" t="s">
        <v>329</v>
      </c>
      <c r="B305" s="3" t="s">
        <v>22</v>
      </c>
      <c r="C305" s="3" t="s">
        <v>50</v>
      </c>
      <c r="D305" s="3" t="s">
        <v>13</v>
      </c>
      <c r="E305" s="3" t="s">
        <v>14</v>
      </c>
      <c r="F305" s="3" t="s">
        <v>20</v>
      </c>
      <c r="G305" s="4">
        <v>45227</v>
      </c>
      <c r="H305">
        <v>55</v>
      </c>
      <c r="I305">
        <v>310.49</v>
      </c>
      <c r="J305" s="3">
        <v>307.10000000000002</v>
      </c>
      <c r="K305" s="35">
        <f>Table3[[#This Row],[Units Sold]]*Table3[[#This Row],[Unit Price]]</f>
        <v>17076.95</v>
      </c>
      <c r="L305">
        <f t="shared" si="4"/>
        <v>186.44999999999925</v>
      </c>
    </row>
    <row r="306" spans="1:12">
      <c r="A306" s="3" t="s">
        <v>330</v>
      </c>
      <c r="B306" s="3" t="s">
        <v>22</v>
      </c>
      <c r="C306" s="3" t="s">
        <v>50</v>
      </c>
      <c r="D306" s="3" t="s">
        <v>27</v>
      </c>
      <c r="E306" s="3" t="s">
        <v>24</v>
      </c>
      <c r="F306" s="3" t="s">
        <v>15</v>
      </c>
      <c r="G306" s="4">
        <v>45228</v>
      </c>
      <c r="H306">
        <v>169</v>
      </c>
      <c r="I306">
        <v>223.99</v>
      </c>
      <c r="J306" s="3">
        <v>293.98</v>
      </c>
      <c r="K306" s="35">
        <f>Table3[[#This Row],[Units Sold]]*Table3[[#This Row],[Unit Price]]</f>
        <v>37854.310000000005</v>
      </c>
      <c r="L306">
        <f t="shared" si="4"/>
        <v>-11828.310000000001</v>
      </c>
    </row>
    <row r="307" spans="1:12">
      <c r="A307" s="3" t="s">
        <v>331</v>
      </c>
      <c r="B307" s="3" t="s">
        <v>11</v>
      </c>
      <c r="C307" s="3" t="s">
        <v>31</v>
      </c>
      <c r="D307" s="3" t="s">
        <v>19</v>
      </c>
      <c r="E307" s="3" t="s">
        <v>14</v>
      </c>
      <c r="F307" s="3" t="s">
        <v>28</v>
      </c>
      <c r="G307" s="4">
        <v>45229</v>
      </c>
      <c r="H307">
        <v>472</v>
      </c>
      <c r="I307">
        <v>416.77</v>
      </c>
      <c r="J307" s="3">
        <v>121.18</v>
      </c>
      <c r="K307" s="35">
        <f>Table3[[#This Row],[Units Sold]]*Table3[[#This Row],[Unit Price]]</f>
        <v>196715.44</v>
      </c>
      <c r="L307">
        <f t="shared" si="4"/>
        <v>139518.47999999998</v>
      </c>
    </row>
    <row r="308" spans="1:12">
      <c r="A308" s="3" t="s">
        <v>332</v>
      </c>
      <c r="B308" s="3" t="s">
        <v>48</v>
      </c>
      <c r="C308" s="3" t="s">
        <v>12</v>
      </c>
      <c r="D308" s="3" t="s">
        <v>23</v>
      </c>
      <c r="E308" s="3" t="s">
        <v>14</v>
      </c>
      <c r="F308" s="3" t="s">
        <v>28</v>
      </c>
      <c r="G308" s="4">
        <v>45230</v>
      </c>
      <c r="H308">
        <v>89</v>
      </c>
      <c r="I308">
        <v>336.45</v>
      </c>
      <c r="J308" s="3">
        <v>71.05</v>
      </c>
      <c r="K308" s="35">
        <f>Table3[[#This Row],[Units Sold]]*Table3[[#This Row],[Unit Price]]</f>
        <v>29944.05</v>
      </c>
      <c r="L308">
        <f t="shared" si="4"/>
        <v>23620.6</v>
      </c>
    </row>
    <row r="309" spans="1:12">
      <c r="A309" s="3" t="s">
        <v>333</v>
      </c>
      <c r="B309" s="3" t="s">
        <v>48</v>
      </c>
      <c r="C309" s="3" t="s">
        <v>18</v>
      </c>
      <c r="D309" s="3" t="s">
        <v>19</v>
      </c>
      <c r="E309" s="3" t="s">
        <v>14</v>
      </c>
      <c r="F309" s="3" t="s">
        <v>20</v>
      </c>
      <c r="G309" s="4">
        <v>45231</v>
      </c>
      <c r="H309">
        <v>319</v>
      </c>
      <c r="I309">
        <v>39.619999999999997</v>
      </c>
      <c r="J309" s="3">
        <v>255.75</v>
      </c>
      <c r="K309" s="35">
        <f>Table3[[#This Row],[Units Sold]]*Table3[[#This Row],[Unit Price]]</f>
        <v>12638.779999999999</v>
      </c>
      <c r="L309">
        <f t="shared" si="4"/>
        <v>-68945.47</v>
      </c>
    </row>
    <row r="310" spans="1:12">
      <c r="A310" s="3" t="s">
        <v>334</v>
      </c>
      <c r="B310" s="3" t="s">
        <v>22</v>
      </c>
      <c r="C310" s="3" t="s">
        <v>12</v>
      </c>
      <c r="E310" s="3" t="s">
        <v>14</v>
      </c>
      <c r="F310" s="3" t="s">
        <v>28</v>
      </c>
      <c r="G310" s="4">
        <v>45232</v>
      </c>
      <c r="H310">
        <v>95</v>
      </c>
      <c r="I310">
        <v>321.88</v>
      </c>
      <c r="J310" s="3">
        <v>199.47</v>
      </c>
      <c r="K310" s="35">
        <f>Table3[[#This Row],[Units Sold]]*Table3[[#This Row],[Unit Price]]</f>
        <v>30578.6</v>
      </c>
      <c r="L310">
        <f t="shared" si="4"/>
        <v>11628.949999999999</v>
      </c>
    </row>
    <row r="311" spans="1:12">
      <c r="A311" s="3" t="s">
        <v>335</v>
      </c>
      <c r="B311" s="3" t="s">
        <v>17</v>
      </c>
      <c r="C311" s="3" t="s">
        <v>31</v>
      </c>
      <c r="E311" s="3" t="s">
        <v>24</v>
      </c>
      <c r="F311" s="3" t="s">
        <v>15</v>
      </c>
      <c r="G311" s="4">
        <v>45233</v>
      </c>
      <c r="H311">
        <v>101</v>
      </c>
      <c r="I311">
        <v>139.22</v>
      </c>
      <c r="J311" s="3">
        <v>72.94</v>
      </c>
      <c r="K311" s="35">
        <f>Table3[[#This Row],[Units Sold]]*Table3[[#This Row],[Unit Price]]</f>
        <v>14061.22</v>
      </c>
      <c r="L311">
        <f t="shared" si="4"/>
        <v>6694.28</v>
      </c>
    </row>
    <row r="312" spans="1:12">
      <c r="A312" s="3" t="s">
        <v>336</v>
      </c>
      <c r="B312" s="3" t="s">
        <v>48</v>
      </c>
      <c r="C312" s="3" t="s">
        <v>50</v>
      </c>
      <c r="E312" s="3" t="s">
        <v>14</v>
      </c>
      <c r="F312" s="3" t="s">
        <v>28</v>
      </c>
      <c r="G312" s="4">
        <v>45234</v>
      </c>
      <c r="H312">
        <v>157</v>
      </c>
      <c r="I312">
        <v>255.4</v>
      </c>
      <c r="J312" s="3">
        <v>274.99</v>
      </c>
      <c r="K312" s="35">
        <f>Table3[[#This Row],[Units Sold]]*Table3[[#This Row],[Unit Price]]</f>
        <v>40097.800000000003</v>
      </c>
      <c r="L312">
        <f t="shared" si="4"/>
        <v>-3075.6300000000006</v>
      </c>
    </row>
    <row r="313" spans="1:12">
      <c r="A313" s="3" t="s">
        <v>337</v>
      </c>
      <c r="B313" s="3" t="s">
        <v>17</v>
      </c>
      <c r="C313" s="3" t="s">
        <v>12</v>
      </c>
      <c r="D313" s="3" t="s">
        <v>19</v>
      </c>
      <c r="E313" s="3" t="s">
        <v>14</v>
      </c>
      <c r="F313" s="3" t="s">
        <v>15</v>
      </c>
      <c r="G313" s="4">
        <v>45235</v>
      </c>
      <c r="H313">
        <v>170</v>
      </c>
      <c r="I313">
        <v>341.67</v>
      </c>
      <c r="J313" s="3">
        <v>396.47</v>
      </c>
      <c r="K313" s="35">
        <f>Table3[[#This Row],[Units Sold]]*Table3[[#This Row],[Unit Price]]</f>
        <v>58083.9</v>
      </c>
      <c r="L313">
        <f t="shared" si="4"/>
        <v>-9316.0000000000018</v>
      </c>
    </row>
    <row r="314" spans="1:12">
      <c r="A314" s="3" t="s">
        <v>338</v>
      </c>
      <c r="B314" s="3" t="s">
        <v>48</v>
      </c>
      <c r="C314" s="3" t="s">
        <v>50</v>
      </c>
      <c r="D314" s="3" t="s">
        <v>42</v>
      </c>
      <c r="E314" s="3" t="s">
        <v>14</v>
      </c>
      <c r="F314" s="3" t="s">
        <v>15</v>
      </c>
      <c r="G314" s="4">
        <v>45236</v>
      </c>
      <c r="H314">
        <v>211</v>
      </c>
      <c r="I314">
        <v>119.26</v>
      </c>
      <c r="J314" s="3">
        <v>299.39</v>
      </c>
      <c r="K314" s="35">
        <f>Table3[[#This Row],[Units Sold]]*Table3[[#This Row],[Unit Price]]</f>
        <v>25163.86</v>
      </c>
      <c r="L314">
        <f t="shared" si="4"/>
        <v>-38007.43</v>
      </c>
    </row>
    <row r="315" spans="1:12">
      <c r="A315" s="3" t="s">
        <v>339</v>
      </c>
      <c r="B315" s="3" t="s">
        <v>17</v>
      </c>
      <c r="C315" s="3" t="s">
        <v>18</v>
      </c>
      <c r="D315" s="3" t="s">
        <v>27</v>
      </c>
      <c r="E315" s="3" t="s">
        <v>14</v>
      </c>
      <c r="F315" s="3" t="s">
        <v>28</v>
      </c>
      <c r="G315" s="4">
        <v>45237</v>
      </c>
      <c r="H315">
        <v>433</v>
      </c>
      <c r="I315">
        <v>231.15</v>
      </c>
      <c r="J315" s="3">
        <v>296.51</v>
      </c>
      <c r="K315" s="35">
        <f>Table3[[#This Row],[Units Sold]]*Table3[[#This Row],[Unit Price]]</f>
        <v>100087.95</v>
      </c>
      <c r="L315">
        <f t="shared" si="4"/>
        <v>-28300.879999999994</v>
      </c>
    </row>
    <row r="316" spans="1:12">
      <c r="A316" s="3" t="s">
        <v>340</v>
      </c>
      <c r="B316" s="3" t="s">
        <v>11</v>
      </c>
      <c r="C316" s="3" t="s">
        <v>50</v>
      </c>
      <c r="D316" s="3" t="s">
        <v>13</v>
      </c>
      <c r="E316" s="3" t="s">
        <v>24</v>
      </c>
      <c r="F316" s="3" t="s">
        <v>20</v>
      </c>
      <c r="G316" s="4">
        <v>45238</v>
      </c>
      <c r="H316">
        <v>425</v>
      </c>
      <c r="I316">
        <v>99.21</v>
      </c>
      <c r="J316" s="3">
        <v>380.22</v>
      </c>
      <c r="K316" s="35">
        <f>Table3[[#This Row],[Units Sold]]*Table3[[#This Row],[Unit Price]]</f>
        <v>42164.25</v>
      </c>
      <c r="L316">
        <f t="shared" si="4"/>
        <v>-119429.25000000001</v>
      </c>
    </row>
    <row r="317" spans="1:12">
      <c r="A317" s="3" t="s">
        <v>341</v>
      </c>
      <c r="B317" s="3" t="s">
        <v>17</v>
      </c>
      <c r="C317" s="3" t="s">
        <v>50</v>
      </c>
      <c r="D317" s="3" t="s">
        <v>23</v>
      </c>
      <c r="E317" s="3" t="s">
        <v>24</v>
      </c>
      <c r="F317" s="3" t="s">
        <v>28</v>
      </c>
      <c r="G317" s="4">
        <v>45239</v>
      </c>
      <c r="H317">
        <v>251</v>
      </c>
      <c r="I317">
        <v>30.91</v>
      </c>
      <c r="J317" s="3">
        <v>82.77</v>
      </c>
      <c r="K317" s="35">
        <f>Table3[[#This Row],[Units Sold]]*Table3[[#This Row],[Unit Price]]</f>
        <v>7758.41</v>
      </c>
      <c r="L317">
        <f t="shared" si="4"/>
        <v>-13016.86</v>
      </c>
    </row>
    <row r="318" spans="1:12">
      <c r="A318" s="3" t="s">
        <v>342</v>
      </c>
      <c r="B318" s="3" t="s">
        <v>11</v>
      </c>
      <c r="C318" s="3" t="s">
        <v>26</v>
      </c>
      <c r="D318" s="3" t="s">
        <v>19</v>
      </c>
      <c r="E318" s="3" t="s">
        <v>14</v>
      </c>
      <c r="F318" s="3" t="s">
        <v>15</v>
      </c>
      <c r="G318" s="4">
        <v>45240</v>
      </c>
      <c r="H318">
        <v>248.5</v>
      </c>
      <c r="I318">
        <v>192.35</v>
      </c>
      <c r="J318" s="3">
        <v>227.09</v>
      </c>
      <c r="K318" s="35">
        <f>Table3[[#This Row],[Units Sold]]*Table3[[#This Row],[Unit Price]]</f>
        <v>47798.974999999999</v>
      </c>
      <c r="L318">
        <f t="shared" si="4"/>
        <v>-8632.8900000000031</v>
      </c>
    </row>
    <row r="319" spans="1:12">
      <c r="A319" s="3" t="s">
        <v>343</v>
      </c>
      <c r="B319" s="3" t="s">
        <v>11</v>
      </c>
      <c r="C319" s="3" t="s">
        <v>26</v>
      </c>
      <c r="D319" s="3" t="s">
        <v>13</v>
      </c>
      <c r="E319" s="3" t="s">
        <v>14</v>
      </c>
      <c r="F319" s="3" t="s">
        <v>15</v>
      </c>
      <c r="G319" s="4">
        <v>45241</v>
      </c>
      <c r="H319">
        <v>11</v>
      </c>
      <c r="I319">
        <v>184.66</v>
      </c>
      <c r="J319" s="3">
        <v>391.9</v>
      </c>
      <c r="K319" s="35">
        <f>Table3[[#This Row],[Units Sold]]*Table3[[#This Row],[Unit Price]]</f>
        <v>2031.26</v>
      </c>
      <c r="L319">
        <f t="shared" si="4"/>
        <v>-2279.64</v>
      </c>
    </row>
    <row r="320" spans="1:12">
      <c r="A320" s="3" t="s">
        <v>344</v>
      </c>
      <c r="B320" s="3" t="s">
        <v>17</v>
      </c>
      <c r="C320" s="3" t="s">
        <v>26</v>
      </c>
      <c r="D320" s="3" t="s">
        <v>23</v>
      </c>
      <c r="E320" s="3" t="s">
        <v>14</v>
      </c>
      <c r="F320" s="3" t="s">
        <v>28</v>
      </c>
      <c r="G320" s="4">
        <v>45242</v>
      </c>
      <c r="H320">
        <v>234</v>
      </c>
      <c r="I320">
        <v>497.76</v>
      </c>
      <c r="J320" s="3">
        <v>67.790000000000006</v>
      </c>
      <c r="K320" s="35">
        <f>Table3[[#This Row],[Units Sold]]*Table3[[#This Row],[Unit Price]]</f>
        <v>116475.84</v>
      </c>
      <c r="L320">
        <f t="shared" si="4"/>
        <v>100612.98</v>
      </c>
    </row>
    <row r="321" spans="1:12">
      <c r="A321" s="3" t="s">
        <v>345</v>
      </c>
      <c r="B321" s="3" t="s">
        <v>11</v>
      </c>
      <c r="C321" s="3" t="s">
        <v>50</v>
      </c>
      <c r="D321" s="3" t="s">
        <v>23</v>
      </c>
      <c r="E321" s="3" t="s">
        <v>14</v>
      </c>
      <c r="F321" s="3" t="s">
        <v>20</v>
      </c>
      <c r="G321" s="4">
        <v>45243</v>
      </c>
      <c r="H321">
        <v>248.5</v>
      </c>
      <c r="I321">
        <v>225.94</v>
      </c>
      <c r="J321" s="3">
        <v>280.7</v>
      </c>
      <c r="K321" s="35">
        <f>Table3[[#This Row],[Units Sold]]*Table3[[#This Row],[Unit Price]]</f>
        <v>56146.09</v>
      </c>
      <c r="L321">
        <f t="shared" si="4"/>
        <v>-13607.859999999997</v>
      </c>
    </row>
    <row r="322" spans="1:12">
      <c r="A322" s="3" t="s">
        <v>346</v>
      </c>
      <c r="B322" s="3" t="s">
        <v>22</v>
      </c>
      <c r="C322" s="3" t="s">
        <v>31</v>
      </c>
      <c r="D322" s="3" t="s">
        <v>42</v>
      </c>
      <c r="E322" s="3" t="s">
        <v>14</v>
      </c>
      <c r="F322" s="3" t="s">
        <v>20</v>
      </c>
      <c r="G322" s="4">
        <v>45244</v>
      </c>
      <c r="H322">
        <v>242</v>
      </c>
      <c r="I322">
        <v>170.12</v>
      </c>
      <c r="J322" s="3">
        <v>235.15</v>
      </c>
      <c r="K322" s="35">
        <f>Table3[[#This Row],[Units Sold]]*Table3[[#This Row],[Unit Price]]</f>
        <v>41169.040000000001</v>
      </c>
      <c r="L322">
        <f t="shared" si="4"/>
        <v>-15737.26</v>
      </c>
    </row>
    <row r="323" spans="1:12">
      <c r="A323" s="3" t="s">
        <v>347</v>
      </c>
      <c r="B323" s="3" t="s">
        <v>11</v>
      </c>
      <c r="C323" s="3" t="s">
        <v>50</v>
      </c>
      <c r="D323" s="3" t="s">
        <v>27</v>
      </c>
      <c r="E323" s="3" t="s">
        <v>14</v>
      </c>
      <c r="F323" s="3" t="s">
        <v>15</v>
      </c>
      <c r="G323" s="4">
        <v>45245</v>
      </c>
      <c r="H323">
        <v>470</v>
      </c>
      <c r="I323">
        <v>292.33999999999997</v>
      </c>
      <c r="J323" s="3">
        <v>235.42</v>
      </c>
      <c r="K323" s="35">
        <f>Table3[[#This Row],[Units Sold]]*Table3[[#This Row],[Unit Price]]</f>
        <v>137399.79999999999</v>
      </c>
      <c r="L323">
        <f t="shared" si="4"/>
        <v>26752.399999999994</v>
      </c>
    </row>
    <row r="324" spans="1:12">
      <c r="A324" s="3" t="s">
        <v>348</v>
      </c>
      <c r="B324" s="3" t="s">
        <v>48</v>
      </c>
      <c r="C324" s="3" t="s">
        <v>31</v>
      </c>
      <c r="D324" s="3" t="s">
        <v>27</v>
      </c>
      <c r="E324" s="3" t="s">
        <v>24</v>
      </c>
      <c r="F324" s="3" t="s">
        <v>15</v>
      </c>
      <c r="G324" s="4">
        <v>45246</v>
      </c>
      <c r="H324">
        <v>423</v>
      </c>
      <c r="I324">
        <v>48.94</v>
      </c>
      <c r="J324" s="3">
        <v>279.67</v>
      </c>
      <c r="K324" s="35">
        <f>Table3[[#This Row],[Units Sold]]*Table3[[#This Row],[Unit Price]]</f>
        <v>20701.62</v>
      </c>
      <c r="L324">
        <f t="shared" si="4"/>
        <v>-97598.790000000008</v>
      </c>
    </row>
    <row r="325" spans="1:12">
      <c r="A325" s="3" t="s">
        <v>349</v>
      </c>
      <c r="B325" s="3" t="s">
        <v>17</v>
      </c>
      <c r="C325" s="3" t="s">
        <v>31</v>
      </c>
      <c r="D325" s="3" t="s">
        <v>13</v>
      </c>
      <c r="E325" s="3" t="s">
        <v>14</v>
      </c>
      <c r="F325" s="3" t="s">
        <v>20</v>
      </c>
      <c r="G325" s="4">
        <v>45247</v>
      </c>
      <c r="H325">
        <v>426</v>
      </c>
      <c r="I325">
        <v>481.02</v>
      </c>
      <c r="J325" s="3">
        <v>371.99</v>
      </c>
      <c r="K325" s="35">
        <f>Table3[[#This Row],[Units Sold]]*Table3[[#This Row],[Unit Price]]</f>
        <v>204914.52</v>
      </c>
      <c r="L325">
        <f t="shared" si="4"/>
        <v>46446.779999999992</v>
      </c>
    </row>
    <row r="326" spans="1:12">
      <c r="A326" s="3" t="s">
        <v>350</v>
      </c>
      <c r="B326" s="3" t="s">
        <v>22</v>
      </c>
      <c r="C326" s="3" t="s">
        <v>26</v>
      </c>
      <c r="D326" s="3" t="s">
        <v>27</v>
      </c>
      <c r="E326" s="3" t="s">
        <v>24</v>
      </c>
      <c r="F326" s="3" t="s">
        <v>28</v>
      </c>
      <c r="G326" s="4">
        <v>45248</v>
      </c>
      <c r="H326">
        <v>86</v>
      </c>
      <c r="I326">
        <v>319.31</v>
      </c>
      <c r="J326" s="3">
        <v>313.47000000000003</v>
      </c>
      <c r="K326" s="35">
        <f>Table3[[#This Row],[Units Sold]]*Table3[[#This Row],[Unit Price]]</f>
        <v>27460.66</v>
      </c>
      <c r="L326">
        <f t="shared" ref="L326:L354" si="5">(I326-J326)*H326</f>
        <v>502.23999999999785</v>
      </c>
    </row>
    <row r="327" spans="1:12">
      <c r="A327" s="3" t="s">
        <v>351</v>
      </c>
      <c r="B327" s="3" t="s">
        <v>17</v>
      </c>
      <c r="C327" s="3" t="s">
        <v>12</v>
      </c>
      <c r="D327" s="3" t="s">
        <v>19</v>
      </c>
      <c r="E327" s="3" t="s">
        <v>24</v>
      </c>
      <c r="F327" s="3" t="s">
        <v>15</v>
      </c>
      <c r="G327" s="4">
        <v>45249</v>
      </c>
      <c r="H327">
        <v>125</v>
      </c>
      <c r="I327">
        <v>378.64</v>
      </c>
      <c r="J327" s="3">
        <v>24.34</v>
      </c>
      <c r="K327" s="35">
        <f>Table3[[#This Row],[Units Sold]]*Table3[[#This Row],[Unit Price]]</f>
        <v>47330</v>
      </c>
      <c r="L327">
        <f t="shared" si="5"/>
        <v>44287.5</v>
      </c>
    </row>
    <row r="328" spans="1:12">
      <c r="A328" s="3" t="s">
        <v>352</v>
      </c>
      <c r="B328" s="3" t="s">
        <v>48</v>
      </c>
      <c r="C328" s="3" t="s">
        <v>18</v>
      </c>
      <c r="E328" s="3" t="s">
        <v>14</v>
      </c>
      <c r="F328" s="3" t="s">
        <v>15</v>
      </c>
      <c r="G328" s="4">
        <v>45250</v>
      </c>
      <c r="H328">
        <v>163</v>
      </c>
      <c r="I328">
        <v>89.39</v>
      </c>
      <c r="J328" s="3">
        <v>341.39</v>
      </c>
      <c r="K328" s="35">
        <f>Table3[[#This Row],[Units Sold]]*Table3[[#This Row],[Unit Price]]</f>
        <v>14570.57</v>
      </c>
      <c r="L328">
        <f t="shared" si="5"/>
        <v>-41076</v>
      </c>
    </row>
    <row r="329" spans="1:12">
      <c r="A329" s="3" t="s">
        <v>353</v>
      </c>
      <c r="B329" s="3" t="s">
        <v>48</v>
      </c>
      <c r="C329" s="3" t="s">
        <v>26</v>
      </c>
      <c r="D329" s="3" t="s">
        <v>13</v>
      </c>
      <c r="E329" s="3" t="s">
        <v>24</v>
      </c>
      <c r="F329" s="3" t="s">
        <v>20</v>
      </c>
      <c r="G329" s="4">
        <v>45251</v>
      </c>
      <c r="H329">
        <v>415</v>
      </c>
      <c r="I329">
        <v>207.69</v>
      </c>
      <c r="J329" s="3">
        <v>91.77</v>
      </c>
      <c r="K329" s="35">
        <f>Table3[[#This Row],[Units Sold]]*Table3[[#This Row],[Unit Price]]</f>
        <v>86191.35</v>
      </c>
      <c r="L329">
        <f t="shared" si="5"/>
        <v>48106.8</v>
      </c>
    </row>
    <row r="330" spans="1:12">
      <c r="A330" s="3" t="s">
        <v>354</v>
      </c>
      <c r="B330" s="3" t="s">
        <v>48</v>
      </c>
      <c r="C330" s="3" t="s">
        <v>26</v>
      </c>
      <c r="D330" s="3" t="s">
        <v>27</v>
      </c>
      <c r="E330" s="3" t="s">
        <v>24</v>
      </c>
      <c r="F330" s="3" t="s">
        <v>28</v>
      </c>
      <c r="G330" s="4">
        <v>45252</v>
      </c>
      <c r="H330">
        <v>112</v>
      </c>
      <c r="I330">
        <v>214.23</v>
      </c>
      <c r="J330" s="3">
        <v>152.01</v>
      </c>
      <c r="K330" s="35">
        <f>Table3[[#This Row],[Units Sold]]*Table3[[#This Row],[Unit Price]]</f>
        <v>23993.759999999998</v>
      </c>
      <c r="L330">
        <f t="shared" si="5"/>
        <v>6968.6399999999994</v>
      </c>
    </row>
    <row r="331" spans="1:12">
      <c r="A331" s="3" t="s">
        <v>355</v>
      </c>
      <c r="B331" s="3" t="s">
        <v>11</v>
      </c>
      <c r="C331" s="3" t="s">
        <v>12</v>
      </c>
      <c r="D331" s="3" t="s">
        <v>19</v>
      </c>
      <c r="E331" s="3" t="s">
        <v>24</v>
      </c>
      <c r="F331" s="3" t="s">
        <v>20</v>
      </c>
      <c r="G331" s="4">
        <v>45253</v>
      </c>
      <c r="H331">
        <v>203</v>
      </c>
      <c r="I331">
        <v>411.79</v>
      </c>
      <c r="J331" s="3">
        <v>185.77</v>
      </c>
      <c r="K331" s="35">
        <f>Table3[[#This Row],[Units Sold]]*Table3[[#This Row],[Unit Price]]</f>
        <v>83593.37000000001</v>
      </c>
      <c r="L331">
        <f t="shared" si="5"/>
        <v>45882.060000000005</v>
      </c>
    </row>
    <row r="332" spans="1:12">
      <c r="A332" s="3" t="s">
        <v>356</v>
      </c>
      <c r="B332" s="3" t="s">
        <v>11</v>
      </c>
      <c r="C332" s="3" t="s">
        <v>18</v>
      </c>
      <c r="D332" s="3" t="s">
        <v>42</v>
      </c>
      <c r="E332" s="3" t="s">
        <v>24</v>
      </c>
      <c r="F332" s="3" t="s">
        <v>28</v>
      </c>
      <c r="G332" s="4">
        <v>45254</v>
      </c>
      <c r="H332">
        <v>248.5</v>
      </c>
      <c r="I332">
        <v>5.61</v>
      </c>
      <c r="J332" s="3">
        <v>193.4</v>
      </c>
      <c r="K332" s="35">
        <f>Table3[[#This Row],[Units Sold]]*Table3[[#This Row],[Unit Price]]</f>
        <v>1394.085</v>
      </c>
      <c r="L332">
        <f t="shared" si="5"/>
        <v>-46665.814999999995</v>
      </c>
    </row>
    <row r="333" spans="1:12">
      <c r="A333" s="3" t="s">
        <v>357</v>
      </c>
      <c r="B333" s="3" t="s">
        <v>17</v>
      </c>
      <c r="C333" s="3" t="s">
        <v>50</v>
      </c>
      <c r="D333" s="3" t="s">
        <v>13</v>
      </c>
      <c r="E333" s="3" t="s">
        <v>24</v>
      </c>
      <c r="F333" s="3" t="s">
        <v>28</v>
      </c>
      <c r="G333" s="4">
        <v>45255</v>
      </c>
      <c r="H333">
        <v>368</v>
      </c>
      <c r="I333">
        <v>153.91999999999999</v>
      </c>
      <c r="J333" s="3">
        <v>175.2</v>
      </c>
      <c r="K333" s="35">
        <f>Table3[[#This Row],[Units Sold]]*Table3[[#This Row],[Unit Price]]</f>
        <v>56642.559999999998</v>
      </c>
      <c r="L333">
        <f t="shared" si="5"/>
        <v>-7831.0400000000009</v>
      </c>
    </row>
    <row r="334" spans="1:12">
      <c r="A334" s="3" t="s">
        <v>358</v>
      </c>
      <c r="B334" s="3" t="s">
        <v>17</v>
      </c>
      <c r="C334" s="3" t="s">
        <v>50</v>
      </c>
      <c r="D334" s="3" t="s">
        <v>42</v>
      </c>
      <c r="E334" s="3" t="s">
        <v>24</v>
      </c>
      <c r="F334" s="3" t="s">
        <v>28</v>
      </c>
      <c r="G334" s="4">
        <v>45256</v>
      </c>
      <c r="H334">
        <v>99</v>
      </c>
      <c r="I334">
        <v>490.71</v>
      </c>
      <c r="J334" s="3">
        <v>375.07</v>
      </c>
      <c r="K334" s="35">
        <f>Table3[[#This Row],[Units Sold]]*Table3[[#This Row],[Unit Price]]</f>
        <v>48580.29</v>
      </c>
      <c r="L334">
        <f t="shared" si="5"/>
        <v>11448.359999999999</v>
      </c>
    </row>
    <row r="335" spans="1:12">
      <c r="A335" s="3" t="s">
        <v>359</v>
      </c>
      <c r="B335" s="3" t="s">
        <v>22</v>
      </c>
      <c r="C335" s="3" t="s">
        <v>26</v>
      </c>
      <c r="D335" s="3" t="s">
        <v>42</v>
      </c>
      <c r="E335" s="3" t="s">
        <v>14</v>
      </c>
      <c r="F335" s="3" t="s">
        <v>15</v>
      </c>
      <c r="G335" s="4">
        <v>45257</v>
      </c>
      <c r="H335">
        <v>183</v>
      </c>
      <c r="I335">
        <v>240.07</v>
      </c>
      <c r="J335" s="3">
        <v>283</v>
      </c>
      <c r="K335" s="35">
        <f>Table3[[#This Row],[Units Sold]]*Table3[[#This Row],[Unit Price]]</f>
        <v>43932.81</v>
      </c>
      <c r="L335">
        <f t="shared" si="5"/>
        <v>-7856.1900000000014</v>
      </c>
    </row>
    <row r="336" spans="1:12">
      <c r="A336" s="3" t="s">
        <v>360</v>
      </c>
      <c r="C336" s="3" t="s">
        <v>18</v>
      </c>
      <c r="D336" s="3" t="s">
        <v>42</v>
      </c>
      <c r="E336" s="3" t="s">
        <v>24</v>
      </c>
      <c r="F336" s="3" t="s">
        <v>20</v>
      </c>
      <c r="G336" s="4">
        <v>45258</v>
      </c>
      <c r="H336">
        <v>131</v>
      </c>
      <c r="I336">
        <v>194.35</v>
      </c>
      <c r="J336" s="3">
        <v>253.21</v>
      </c>
      <c r="K336" s="35">
        <f>Table3[[#This Row],[Units Sold]]*Table3[[#This Row],[Unit Price]]</f>
        <v>25459.85</v>
      </c>
      <c r="L336">
        <f t="shared" si="5"/>
        <v>-7710.6600000000017</v>
      </c>
    </row>
    <row r="337" spans="1:12">
      <c r="A337" s="3" t="s">
        <v>361</v>
      </c>
      <c r="B337" s="3" t="s">
        <v>17</v>
      </c>
      <c r="C337" s="3" t="s">
        <v>26</v>
      </c>
      <c r="D337" s="3" t="s">
        <v>23</v>
      </c>
      <c r="E337" s="3" t="s">
        <v>24</v>
      </c>
      <c r="F337" s="3" t="s">
        <v>20</v>
      </c>
      <c r="G337" s="4">
        <v>45259</v>
      </c>
      <c r="H337">
        <v>152</v>
      </c>
      <c r="I337">
        <v>64.319999999999993</v>
      </c>
      <c r="J337" s="3">
        <v>21.84</v>
      </c>
      <c r="K337" s="35">
        <f>Table3[[#This Row],[Units Sold]]*Table3[[#This Row],[Unit Price]]</f>
        <v>9776.64</v>
      </c>
      <c r="L337">
        <f t="shared" si="5"/>
        <v>6456.9599999999982</v>
      </c>
    </row>
    <row r="338" spans="1:12">
      <c r="A338" s="3" t="s">
        <v>362</v>
      </c>
      <c r="B338" s="3" t="s">
        <v>11</v>
      </c>
      <c r="C338" s="3" t="s">
        <v>31</v>
      </c>
      <c r="D338" s="3" t="s">
        <v>23</v>
      </c>
      <c r="E338" s="3" t="s">
        <v>24</v>
      </c>
      <c r="F338" s="3" t="s">
        <v>28</v>
      </c>
      <c r="G338" s="4">
        <v>45260</v>
      </c>
      <c r="H338">
        <v>491</v>
      </c>
      <c r="I338">
        <v>487.21</v>
      </c>
      <c r="J338" s="3">
        <v>361.76</v>
      </c>
      <c r="K338" s="35">
        <f>Table3[[#This Row],[Units Sold]]*Table3[[#This Row],[Unit Price]]</f>
        <v>239220.11</v>
      </c>
      <c r="L338">
        <f t="shared" si="5"/>
        <v>61595.95</v>
      </c>
    </row>
    <row r="339" spans="1:12">
      <c r="A339" s="3" t="s">
        <v>363</v>
      </c>
      <c r="B339" s="3" t="s">
        <v>48</v>
      </c>
      <c r="C339" s="3" t="s">
        <v>26</v>
      </c>
      <c r="D339" s="3" t="s">
        <v>42</v>
      </c>
      <c r="E339" s="3" t="s">
        <v>14</v>
      </c>
      <c r="F339" s="3" t="s">
        <v>15</v>
      </c>
      <c r="G339" s="4">
        <v>45261</v>
      </c>
      <c r="H339">
        <v>115</v>
      </c>
      <c r="I339">
        <v>14.91</v>
      </c>
      <c r="J339" s="3">
        <v>363.94</v>
      </c>
      <c r="K339" s="35">
        <f>Table3[[#This Row],[Units Sold]]*Table3[[#This Row],[Unit Price]]</f>
        <v>1714.65</v>
      </c>
      <c r="L339">
        <f t="shared" si="5"/>
        <v>-40138.449999999997</v>
      </c>
    </row>
    <row r="340" spans="1:12">
      <c r="A340" s="3" t="s">
        <v>364</v>
      </c>
      <c r="B340" s="3" t="s">
        <v>17</v>
      </c>
      <c r="C340" s="3" t="s">
        <v>26</v>
      </c>
      <c r="D340" s="3" t="s">
        <v>13</v>
      </c>
      <c r="E340" s="3" t="s">
        <v>24</v>
      </c>
      <c r="F340" s="3" t="s">
        <v>15</v>
      </c>
      <c r="G340" s="4">
        <v>45262</v>
      </c>
      <c r="H340">
        <v>384</v>
      </c>
      <c r="I340">
        <v>369.9</v>
      </c>
      <c r="J340" s="3">
        <v>312.52</v>
      </c>
      <c r="K340" s="35">
        <f>Table3[[#This Row],[Units Sold]]*Table3[[#This Row],[Unit Price]]</f>
        <v>142041.59999999998</v>
      </c>
      <c r="L340">
        <f t="shared" si="5"/>
        <v>22033.919999999998</v>
      </c>
    </row>
    <row r="341" spans="1:12">
      <c r="A341" s="3" t="s">
        <v>365</v>
      </c>
      <c r="B341" s="3" t="s">
        <v>22</v>
      </c>
      <c r="C341" s="3" t="s">
        <v>50</v>
      </c>
      <c r="D341" s="3" t="s">
        <v>19</v>
      </c>
      <c r="E341" s="3" t="s">
        <v>14</v>
      </c>
      <c r="F341" s="3" t="s">
        <v>20</v>
      </c>
      <c r="G341" s="4">
        <v>45263</v>
      </c>
      <c r="H341">
        <v>437</v>
      </c>
      <c r="I341">
        <v>385.46</v>
      </c>
      <c r="J341" s="3">
        <v>4.8</v>
      </c>
      <c r="K341" s="35">
        <f>Table3[[#This Row],[Units Sold]]*Table3[[#This Row],[Unit Price]]</f>
        <v>168446.02</v>
      </c>
      <c r="L341">
        <f t="shared" si="5"/>
        <v>166348.41999999998</v>
      </c>
    </row>
    <row r="342" spans="1:12">
      <c r="A342" s="3" t="s">
        <v>366</v>
      </c>
      <c r="B342" s="3" t="s">
        <v>11</v>
      </c>
      <c r="C342" s="3" t="s">
        <v>50</v>
      </c>
      <c r="D342" s="3" t="s">
        <v>19</v>
      </c>
      <c r="E342" s="3" t="s">
        <v>24</v>
      </c>
      <c r="F342" s="3" t="s">
        <v>15</v>
      </c>
      <c r="G342" s="4">
        <v>45264</v>
      </c>
      <c r="H342">
        <v>314</v>
      </c>
      <c r="I342">
        <v>125.61</v>
      </c>
      <c r="J342" s="3">
        <v>24.8</v>
      </c>
      <c r="K342" s="35">
        <f>Table3[[#This Row],[Units Sold]]*Table3[[#This Row],[Unit Price]]</f>
        <v>39441.54</v>
      </c>
      <c r="L342">
        <f t="shared" si="5"/>
        <v>31654.34</v>
      </c>
    </row>
    <row r="343" spans="1:12">
      <c r="A343" s="3" t="s">
        <v>367</v>
      </c>
      <c r="B343" s="3" t="s">
        <v>17</v>
      </c>
      <c r="C343" s="3" t="s">
        <v>50</v>
      </c>
      <c r="D343" s="3" t="s">
        <v>27</v>
      </c>
      <c r="E343" s="3" t="s">
        <v>14</v>
      </c>
      <c r="F343" s="3" t="s">
        <v>15</v>
      </c>
      <c r="G343" s="4">
        <v>45265</v>
      </c>
      <c r="H343">
        <v>369</v>
      </c>
      <c r="I343">
        <v>337.42</v>
      </c>
      <c r="J343" s="3">
        <v>91.64</v>
      </c>
      <c r="K343" s="35">
        <f>Table3[[#This Row],[Units Sold]]*Table3[[#This Row],[Unit Price]]</f>
        <v>124507.98000000001</v>
      </c>
      <c r="L343">
        <f t="shared" si="5"/>
        <v>90692.82</v>
      </c>
    </row>
    <row r="344" spans="1:12">
      <c r="A344" s="3" t="s">
        <v>368</v>
      </c>
      <c r="B344" s="3" t="s">
        <v>17</v>
      </c>
      <c r="C344" s="3" t="s">
        <v>31</v>
      </c>
      <c r="D344" s="3" t="s">
        <v>13</v>
      </c>
      <c r="E344" s="3" t="s">
        <v>14</v>
      </c>
      <c r="F344" s="3" t="s">
        <v>28</v>
      </c>
      <c r="G344" s="4">
        <v>45266</v>
      </c>
      <c r="H344">
        <v>468</v>
      </c>
      <c r="I344">
        <v>51</v>
      </c>
      <c r="J344" s="3">
        <v>54.28</v>
      </c>
      <c r="K344" s="35">
        <f>Table3[[#This Row],[Units Sold]]*Table3[[#This Row],[Unit Price]]</f>
        <v>23868</v>
      </c>
      <c r="L344">
        <f t="shared" si="5"/>
        <v>-1535.0400000000004</v>
      </c>
    </row>
    <row r="345" spans="1:12">
      <c r="A345" s="3" t="s">
        <v>369</v>
      </c>
      <c r="B345" s="3" t="s">
        <v>11</v>
      </c>
      <c r="C345" s="3" t="s">
        <v>50</v>
      </c>
      <c r="D345" s="3" t="s">
        <v>23</v>
      </c>
      <c r="E345" s="3" t="s">
        <v>24</v>
      </c>
      <c r="F345" s="3" t="s">
        <v>15</v>
      </c>
      <c r="G345" s="4">
        <v>45267</v>
      </c>
      <c r="H345">
        <v>326</v>
      </c>
      <c r="I345">
        <v>132.24</v>
      </c>
      <c r="J345" s="3">
        <v>160.74</v>
      </c>
      <c r="K345" s="35">
        <f>Table3[[#This Row],[Units Sold]]*Table3[[#This Row],[Unit Price]]</f>
        <v>43110.240000000005</v>
      </c>
      <c r="L345">
        <f t="shared" si="5"/>
        <v>-9291</v>
      </c>
    </row>
    <row r="346" spans="1:12">
      <c r="A346" s="3" t="s">
        <v>370</v>
      </c>
      <c r="B346" s="3" t="s">
        <v>17</v>
      </c>
      <c r="C346" s="3" t="s">
        <v>18</v>
      </c>
      <c r="D346" s="3" t="s">
        <v>42</v>
      </c>
      <c r="E346" s="3" t="s">
        <v>24</v>
      </c>
      <c r="F346" s="3" t="s">
        <v>28</v>
      </c>
      <c r="G346" s="4">
        <v>45268</v>
      </c>
      <c r="H346">
        <v>460</v>
      </c>
      <c r="I346">
        <v>395.01</v>
      </c>
      <c r="J346" s="3">
        <v>369.2</v>
      </c>
      <c r="K346" s="35">
        <f>Table3[[#This Row],[Units Sold]]*Table3[[#This Row],[Unit Price]]</f>
        <v>181704.6</v>
      </c>
      <c r="L346">
        <f t="shared" si="5"/>
        <v>11872.6</v>
      </c>
    </row>
    <row r="347" spans="1:12">
      <c r="A347" s="3" t="s">
        <v>371</v>
      </c>
      <c r="B347" s="3" t="s">
        <v>11</v>
      </c>
      <c r="C347" s="3" t="s">
        <v>12</v>
      </c>
      <c r="D347" s="3" t="s">
        <v>27</v>
      </c>
      <c r="E347" s="3" t="s">
        <v>14</v>
      </c>
      <c r="F347" s="3" t="s">
        <v>20</v>
      </c>
      <c r="G347" s="4">
        <v>45269</v>
      </c>
      <c r="H347">
        <v>132</v>
      </c>
      <c r="I347">
        <v>433.02</v>
      </c>
      <c r="J347" s="3">
        <v>189.88</v>
      </c>
      <c r="K347" s="35">
        <f>Table3[[#This Row],[Units Sold]]*Table3[[#This Row],[Unit Price]]</f>
        <v>57158.64</v>
      </c>
      <c r="L347">
        <f t="shared" si="5"/>
        <v>32094.48</v>
      </c>
    </row>
    <row r="348" spans="1:12">
      <c r="A348" s="3" t="s">
        <v>372</v>
      </c>
      <c r="B348" s="3" t="s">
        <v>48</v>
      </c>
      <c r="C348" s="3" t="s">
        <v>18</v>
      </c>
      <c r="D348" s="3" t="s">
        <v>19</v>
      </c>
      <c r="E348" s="3" t="s">
        <v>24</v>
      </c>
      <c r="F348" s="3" t="s">
        <v>15</v>
      </c>
      <c r="G348" s="4">
        <v>45270</v>
      </c>
      <c r="H348">
        <v>399</v>
      </c>
      <c r="I348">
        <v>306.2</v>
      </c>
      <c r="J348" s="3">
        <v>7.33</v>
      </c>
      <c r="K348" s="35">
        <f>Table3[[#This Row],[Units Sold]]*Table3[[#This Row],[Unit Price]]</f>
        <v>122173.79999999999</v>
      </c>
      <c r="L348">
        <f t="shared" si="5"/>
        <v>119249.13</v>
      </c>
    </row>
    <row r="349" spans="1:12">
      <c r="A349" s="3" t="s">
        <v>373</v>
      </c>
      <c r="B349" s="3" t="s">
        <v>11</v>
      </c>
      <c r="C349" s="3" t="s">
        <v>18</v>
      </c>
      <c r="D349" s="3" t="s">
        <v>23</v>
      </c>
      <c r="E349" s="3" t="s">
        <v>14</v>
      </c>
      <c r="F349" s="3" t="s">
        <v>20</v>
      </c>
      <c r="G349" s="4">
        <v>45271</v>
      </c>
      <c r="H349">
        <v>18</v>
      </c>
      <c r="I349">
        <v>255.89</v>
      </c>
      <c r="J349" s="3">
        <v>114.53</v>
      </c>
      <c r="K349" s="35">
        <f>Table3[[#This Row],[Units Sold]]*Table3[[#This Row],[Unit Price]]</f>
        <v>4606.0199999999995</v>
      </c>
      <c r="L349">
        <f t="shared" si="5"/>
        <v>2544.4799999999996</v>
      </c>
    </row>
    <row r="350" spans="1:12">
      <c r="A350" s="3" t="s">
        <v>374</v>
      </c>
      <c r="B350" s="3" t="s">
        <v>11</v>
      </c>
      <c r="C350" s="3" t="s">
        <v>50</v>
      </c>
      <c r="D350" s="3" t="s">
        <v>23</v>
      </c>
      <c r="E350" s="3" t="s">
        <v>14</v>
      </c>
      <c r="F350" s="3" t="s">
        <v>20</v>
      </c>
      <c r="G350" s="4">
        <v>45272</v>
      </c>
      <c r="H350">
        <v>271</v>
      </c>
      <c r="I350">
        <v>83.86</v>
      </c>
      <c r="J350" s="3">
        <v>19.75</v>
      </c>
      <c r="K350" s="35">
        <f>Table3[[#This Row],[Units Sold]]*Table3[[#This Row],[Unit Price]]</f>
        <v>22726.06</v>
      </c>
      <c r="L350">
        <f t="shared" si="5"/>
        <v>17373.810000000001</v>
      </c>
    </row>
    <row r="351" spans="1:12">
      <c r="A351" s="3" t="s">
        <v>375</v>
      </c>
      <c r="C351" s="3" t="s">
        <v>12</v>
      </c>
      <c r="D351" s="3" t="s">
        <v>42</v>
      </c>
      <c r="E351" s="3" t="s">
        <v>14</v>
      </c>
      <c r="F351" s="3" t="s">
        <v>15</v>
      </c>
      <c r="G351" s="4">
        <v>45273</v>
      </c>
      <c r="H351">
        <v>82</v>
      </c>
      <c r="I351">
        <v>36.24</v>
      </c>
      <c r="J351" s="3">
        <v>16.440000000000001</v>
      </c>
      <c r="K351" s="35">
        <f>Table3[[#This Row],[Units Sold]]*Table3[[#This Row],[Unit Price]]</f>
        <v>2971.6800000000003</v>
      </c>
      <c r="L351">
        <f t="shared" si="5"/>
        <v>1623.6000000000001</v>
      </c>
    </row>
    <row r="352" spans="1:12">
      <c r="A352" s="3" t="s">
        <v>376</v>
      </c>
      <c r="B352" s="3" t="s">
        <v>17</v>
      </c>
      <c r="C352" s="3" t="s">
        <v>12</v>
      </c>
      <c r="D352" s="3" t="s">
        <v>19</v>
      </c>
      <c r="E352" s="3" t="s">
        <v>14</v>
      </c>
      <c r="F352" s="3" t="s">
        <v>15</v>
      </c>
      <c r="G352" s="4">
        <v>45274</v>
      </c>
      <c r="H352">
        <v>368</v>
      </c>
      <c r="I352">
        <v>63.24</v>
      </c>
      <c r="J352" s="3">
        <v>111.74</v>
      </c>
      <c r="K352" s="35">
        <f>Table3[[#This Row],[Units Sold]]*Table3[[#This Row],[Unit Price]]</f>
        <v>23272.32</v>
      </c>
      <c r="L352">
        <f t="shared" si="5"/>
        <v>-17847.999999999996</v>
      </c>
    </row>
    <row r="353" spans="1:12">
      <c r="A353" s="3" t="s">
        <v>377</v>
      </c>
      <c r="B353" s="3" t="s">
        <v>17</v>
      </c>
      <c r="C353" s="3" t="s">
        <v>12</v>
      </c>
      <c r="D353" s="3" t="s">
        <v>13</v>
      </c>
      <c r="E353" s="3" t="s">
        <v>14</v>
      </c>
      <c r="F353" s="3" t="s">
        <v>20</v>
      </c>
      <c r="G353" s="4">
        <v>45275</v>
      </c>
      <c r="H353">
        <v>232</v>
      </c>
      <c r="I353">
        <v>117.54</v>
      </c>
      <c r="J353" s="3">
        <v>111.69</v>
      </c>
      <c r="K353" s="35">
        <f>Table3[[#This Row],[Units Sold]]*Table3[[#This Row],[Unit Price]]</f>
        <v>27269.280000000002</v>
      </c>
      <c r="L353">
        <f t="shared" si="5"/>
        <v>1357.2000000000021</v>
      </c>
    </row>
    <row r="354" spans="1:12">
      <c r="A354" s="3" t="s">
        <v>378</v>
      </c>
      <c r="B354" s="3" t="s">
        <v>11</v>
      </c>
      <c r="C354" s="3" t="s">
        <v>31</v>
      </c>
      <c r="D354" s="3" t="s">
        <v>23</v>
      </c>
      <c r="E354" s="3" t="s">
        <v>24</v>
      </c>
      <c r="F354" s="3" t="s">
        <v>15</v>
      </c>
      <c r="G354" s="4">
        <v>45276</v>
      </c>
      <c r="H354">
        <v>425</v>
      </c>
      <c r="I354">
        <v>174.13</v>
      </c>
      <c r="J354" s="3">
        <v>315.27999999999997</v>
      </c>
      <c r="K354" s="35">
        <f>Table3[[#This Row],[Units Sold]]*Table3[[#This Row],[Unit Price]]</f>
        <v>74005.25</v>
      </c>
      <c r="L354">
        <f t="shared" si="5"/>
        <v>-59988.749999999993</v>
      </c>
    </row>
  </sheetData>
  <mergeCells count="1">
    <mergeCell ref="M12:R1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2:I9"/>
  <sheetViews>
    <sheetView workbookViewId="0">
      <selection activeCell="A3" sqref="A3"/>
    </sheetView>
  </sheetViews>
  <sheetFormatPr defaultRowHeight="15"/>
  <cols>
    <col min="3" max="3" width="13" customWidth="1"/>
    <col min="4" max="4" width="5.7109375" customWidth="1"/>
  </cols>
  <sheetData>
    <row r="2" spans="1:9" ht="21">
      <c r="A2" s="25" t="s">
        <v>405</v>
      </c>
      <c r="B2" s="25"/>
      <c r="C2" s="25"/>
      <c r="D2" s="25"/>
      <c r="E2" s="25"/>
      <c r="F2" s="25"/>
      <c r="G2" s="25"/>
      <c r="H2" s="25"/>
      <c r="I2" s="25"/>
    </row>
    <row r="3" spans="1:9" ht="13.9" customHeight="1">
      <c r="A3" s="25"/>
      <c r="B3" s="25"/>
      <c r="C3" s="25"/>
      <c r="D3" s="25"/>
      <c r="E3" s="25"/>
      <c r="F3" s="25"/>
      <c r="G3" s="25"/>
      <c r="H3" s="25"/>
      <c r="I3" s="25"/>
    </row>
    <row r="4" spans="1:9">
      <c r="B4" s="45" t="s">
        <v>406</v>
      </c>
      <c r="C4" s="46"/>
      <c r="D4" s="46"/>
      <c r="E4" s="46"/>
      <c r="F4" s="46"/>
      <c r="G4" s="37"/>
    </row>
    <row r="5" spans="1:9">
      <c r="A5" s="36"/>
      <c r="B5" s="59" t="s">
        <v>407</v>
      </c>
      <c r="C5" s="60"/>
      <c r="D5" s="47">
        <v>22456363</v>
      </c>
      <c r="E5" s="48"/>
      <c r="F5" s="49"/>
      <c r="G5" s="37"/>
    </row>
    <row r="6" spans="1:9">
      <c r="A6" s="36"/>
      <c r="B6" s="61" t="s">
        <v>408</v>
      </c>
      <c r="C6" s="62"/>
      <c r="D6" s="50">
        <v>5084286</v>
      </c>
      <c r="E6" s="51"/>
      <c r="F6" s="52"/>
    </row>
    <row r="7" spans="1:9">
      <c r="A7" s="36"/>
      <c r="B7" s="61" t="s">
        <v>409</v>
      </c>
      <c r="C7" s="62"/>
      <c r="D7" s="53">
        <v>0.28999999999999998</v>
      </c>
      <c r="E7" s="54"/>
      <c r="F7" s="55"/>
    </row>
    <row r="8" spans="1:9">
      <c r="A8" s="36"/>
      <c r="B8" s="61" t="s">
        <v>410</v>
      </c>
      <c r="C8" s="62"/>
      <c r="D8" s="50" t="s">
        <v>13</v>
      </c>
      <c r="E8" s="51"/>
      <c r="F8" s="52"/>
    </row>
    <row r="9" spans="1:9">
      <c r="A9" s="36"/>
      <c r="B9" s="43" t="s">
        <v>411</v>
      </c>
      <c r="C9" s="44"/>
      <c r="D9" s="56" t="s">
        <v>48</v>
      </c>
      <c r="E9" s="57"/>
      <c r="F9" s="58"/>
    </row>
  </sheetData>
  <mergeCells count="11">
    <mergeCell ref="B9:C9"/>
    <mergeCell ref="B4:F4"/>
    <mergeCell ref="D5:F5"/>
    <mergeCell ref="D6:F6"/>
    <mergeCell ref="D7:F7"/>
    <mergeCell ref="D8:F8"/>
    <mergeCell ref="D9:F9"/>
    <mergeCell ref="B5:C5"/>
    <mergeCell ref="B6:C6"/>
    <mergeCell ref="B7:C7"/>
    <mergeCell ref="B8:C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2:I28"/>
  <sheetViews>
    <sheetView tabSelected="1" workbookViewId="0">
      <selection activeCell="F13" sqref="F13"/>
    </sheetView>
  </sheetViews>
  <sheetFormatPr defaultRowHeight="15"/>
  <sheetData>
    <row r="2" spans="2:9" ht="21">
      <c r="B2" s="25" t="s">
        <v>412</v>
      </c>
      <c r="C2" s="25"/>
      <c r="D2" s="25"/>
      <c r="E2" s="25"/>
      <c r="F2" s="25"/>
      <c r="G2" s="25"/>
      <c r="H2" s="25"/>
      <c r="I2" s="25"/>
    </row>
    <row r="3" spans="2:9" ht="21">
      <c r="B3" s="25"/>
      <c r="C3" s="25"/>
      <c r="D3" s="25"/>
      <c r="E3" s="25"/>
      <c r="F3" s="25"/>
      <c r="G3" s="25"/>
      <c r="H3" s="25"/>
      <c r="I3" s="25"/>
    </row>
    <row r="4" spans="2:9" ht="18.75">
      <c r="B4" s="8" t="s">
        <v>413</v>
      </c>
      <c r="C4" s="8"/>
      <c r="D4" s="8"/>
      <c r="E4" s="8"/>
      <c r="F4" s="8"/>
    </row>
    <row r="6" spans="2:9" ht="15.75">
      <c r="B6" s="9" t="s">
        <v>414</v>
      </c>
      <c r="C6" s="9"/>
    </row>
    <row r="7" spans="2:9">
      <c r="D7" t="s">
        <v>415</v>
      </c>
    </row>
    <row r="8" spans="2:9">
      <c r="D8" t="s">
        <v>416</v>
      </c>
    </row>
    <row r="10" spans="2:9" ht="18.75">
      <c r="B10" s="8" t="s">
        <v>417</v>
      </c>
      <c r="C10" s="8"/>
      <c r="D10" s="8"/>
      <c r="E10" s="8"/>
      <c r="F10" s="8"/>
      <c r="G10" s="8"/>
      <c r="H10" s="8"/>
    </row>
    <row r="12" spans="2:9">
      <c r="B12" t="s">
        <v>418</v>
      </c>
    </row>
    <row r="13" spans="2:9">
      <c r="B13" t="s">
        <v>419</v>
      </c>
    </row>
    <row r="14" spans="2:9">
      <c r="B14" t="s">
        <v>420</v>
      </c>
    </row>
    <row r="15" spans="2:9">
      <c r="B15" t="s">
        <v>421</v>
      </c>
    </row>
    <row r="17" spans="2:7" ht="18.75">
      <c r="B17" s="8" t="s">
        <v>422</v>
      </c>
      <c r="C17" s="8"/>
      <c r="D17" s="8"/>
      <c r="E17" s="8"/>
      <c r="F17" s="8"/>
      <c r="G17" s="8"/>
    </row>
    <row r="19" spans="2:7" ht="15.75">
      <c r="B19" s="9" t="s">
        <v>423</v>
      </c>
      <c r="C19" s="9"/>
      <c r="D19" s="9"/>
    </row>
    <row r="20" spans="2:7">
      <c r="B20" t="s">
        <v>424</v>
      </c>
    </row>
    <row r="21" spans="2:7" ht="15.75">
      <c r="B21" s="9" t="s">
        <v>425</v>
      </c>
      <c r="C21" s="9"/>
      <c r="D21" s="9"/>
    </row>
    <row r="22" spans="2:7">
      <c r="B22" t="s">
        <v>426</v>
      </c>
    </row>
    <row r="23" spans="2:7">
      <c r="B23" t="s">
        <v>427</v>
      </c>
    </row>
    <row r="25" spans="2:7" ht="18.75">
      <c r="B25" s="8" t="s">
        <v>428</v>
      </c>
      <c r="C25" s="8"/>
      <c r="D25" s="8"/>
      <c r="E25" s="8"/>
      <c r="F25" s="9"/>
    </row>
    <row r="27" spans="2:7" ht="15.75">
      <c r="B27" s="9" t="s">
        <v>429</v>
      </c>
      <c r="C27" s="9"/>
      <c r="D27" s="9"/>
      <c r="E27" s="9"/>
      <c r="F27" s="9"/>
    </row>
    <row r="28" spans="2:7">
      <c r="B28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Ans 1</vt:lpstr>
      <vt:lpstr>Ans 2</vt:lpstr>
      <vt:lpstr>Ans 3</vt:lpstr>
      <vt:lpstr>Ans 4</vt:lpstr>
      <vt:lpstr>Ans 5</vt:lpstr>
      <vt:lpstr>Ans 6</vt:lpstr>
      <vt:lpstr>Ans 7</vt:lpstr>
      <vt:lpstr>Ans 8</vt:lpstr>
      <vt:lpstr>Ans 9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kumar</dc:creator>
  <cp:keywords/>
  <dc:description/>
  <cp:lastModifiedBy>ADMINISTRATER</cp:lastModifiedBy>
  <cp:revision/>
  <dcterms:created xsi:type="dcterms:W3CDTF">2025-12-19T08:59:26Z</dcterms:created>
  <dcterms:modified xsi:type="dcterms:W3CDTF">2025-12-25T16:48:15Z</dcterms:modified>
  <cp:category/>
  <cp:contentStatus/>
</cp:coreProperties>
</file>